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lementation project pla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EAF2F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xf numFmtId="0" fontId="3"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IsmsReg05ImplementationProjectPlanTable" displayName="IsmsReg05ImplementationProjectPlanTable" ref="A10:J110" headerRowCount="1">
  <autoFilter ref="A10:J110"/>
  <tableColumns count="10">
    <tableColumn id="1" name="Step"/>
    <tableColumn id="2" name="Task"/>
    <tableColumn id="3" name="Deliverable"/>
    <tableColumn id="4" name="Owner role"/>
    <tableColumn id="5" name="Planned start week"/>
    <tableColumn id="6" name="Planned end week"/>
    <tableColumn id="7" name="Duration (weeks)"/>
    <tableColumn id="8" name="Status"/>
    <tableColumn id="9" name="Actual end week"/>
    <tableColumn id="10"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J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30" customWidth="1" min="3" max="3"/>
    <col width="26" customWidth="1" min="4" max="4"/>
    <col width="12" customWidth="1" min="5" max="5"/>
    <col width="12" customWidth="1" min="6" max="6"/>
    <col width="12" customWidth="1" min="7" max="7"/>
    <col width="14" customWidth="1" min="8" max="8"/>
    <col width="12" customWidth="1" min="9" max="9"/>
    <col width="32" customWidth="1" min="10" max="10"/>
  </cols>
  <sheetData>
    <row r="2">
      <c r="A2" s="1" t="inlineStr">
        <is>
          <t>Implementation project plan</t>
        </is>
      </c>
    </row>
    <row r="3">
      <c r="A3" s="2" t="inlineStr">
        <is>
          <t>ISMS-REG-05. 64 prepared rows plus 36 blank rows. Keep completed copies in your organisation's approved storage; do not publish filled registers.</t>
        </is>
      </c>
    </row>
    <row r="4">
      <c r="A4" s="2" t="inlineStr">
        <is>
          <t>Serves: ISO/IEC 27001:2022 clause 5.1; ISO/IEC 27001:2022 clause 6.2; ISO/IEC 27001:2022 clause 8.1</t>
        </is>
      </c>
    </row>
    <row r="5">
      <c r="A5" s="3" t="inlineStr">
        <is>
          <t>Recorded items</t>
        </is>
      </c>
      <c r="B5" s="3" t="inlineStr">
        <is>
          <t>Statuses entered</t>
        </is>
      </c>
      <c r="C5" s="3" t="inlineStr">
        <is>
          <t>Scope / organisation</t>
        </is>
      </c>
    </row>
    <row r="6">
      <c r="A6" s="4">
        <f>COUNTA(A11:A110)</f>
        <v/>
      </c>
      <c r="B6" s="4">
        <f>COUNTA(H11:H110)</f>
        <v/>
      </c>
      <c r="C6" s="5" t="n"/>
    </row>
    <row r="8" ht="44" customHeight="1">
      <c r="A8" s="6" t="inlineStr">
        <is>
          <t>The task list for implementing the management system, organised by the twelve steps of the implementation playbook with the kit deliverable, owner role and planned weeks for each task. Prefilled with a typical 26 week plan for an organisation of up to about one hundred people; adjust the weeks and owners before use and add rows for the gaps found in the gap analysis.</t>
        </is>
      </c>
    </row>
    <row r="9">
      <c r="A9" s="2" t="inlineStr">
        <is>
          <t>Editable inputs are pale yellow. Calculated cells are pale blue and should not be typed over. Add rows inside the table and check formulas after inserting.</t>
        </is>
      </c>
    </row>
    <row r="10" ht="34" customHeight="1">
      <c r="A10" s="7" t="inlineStr">
        <is>
          <t>Step</t>
        </is>
      </c>
      <c r="B10" s="7" t="inlineStr">
        <is>
          <t>Task</t>
        </is>
      </c>
      <c r="C10" s="7" t="inlineStr">
        <is>
          <t>Deliverable</t>
        </is>
      </c>
      <c r="D10" s="7" t="inlineStr">
        <is>
          <t>Owner role</t>
        </is>
      </c>
      <c r="E10" s="7" t="inlineStr">
        <is>
          <t>Planned start week</t>
        </is>
      </c>
      <c r="F10" s="7" t="inlineStr">
        <is>
          <t>Planned end week</t>
        </is>
      </c>
      <c r="G10" s="7" t="inlineStr">
        <is>
          <t>Duration (weeks)</t>
        </is>
      </c>
      <c r="H10" s="7" t="inlineStr">
        <is>
          <t>Status</t>
        </is>
      </c>
      <c r="I10" s="7" t="inlineStr">
        <is>
          <t>Actual end week</t>
        </is>
      </c>
      <c r="J10" s="7" t="inlineStr">
        <is>
          <t>Notes</t>
        </is>
      </c>
    </row>
    <row r="11" ht="28" customHeight="1">
      <c r="A11" s="8" t="inlineStr">
        <is>
          <t>1. Management support and charter</t>
        </is>
      </c>
      <c r="B11" s="8" t="inlineStr">
        <is>
          <t>Write the one page business case with costs, savings and the earliest realistic date</t>
        </is>
      </c>
      <c r="C11" s="8" t="inlineStr">
        <is>
          <t>GOV-STM-01</t>
        </is>
      </c>
      <c r="D11" s="8" t="inlineStr">
        <is>
          <t>Information Security Manager</t>
        </is>
      </c>
      <c r="E11" s="8" t="n">
        <v>1</v>
      </c>
      <c r="F11" s="8" t="n">
        <v>1</v>
      </c>
      <c r="G11" s="9">
        <f>IF(OR(E11="",F11=""),"",F11-E11+1)</f>
        <v/>
      </c>
      <c r="H11" s="8" t="n"/>
      <c r="I11" s="8" t="n"/>
      <c r="J11" s="8" t="n"/>
    </row>
    <row r="12" ht="28" customHeight="1">
      <c r="A12" s="8" t="inlineStr">
        <is>
          <t>1. Management support and charter</t>
        </is>
      </c>
      <c r="B12" s="8" t="inlineStr">
        <is>
          <t>Appoint the Information Security Manager and agree the share of their time for the programme</t>
        </is>
      </c>
      <c r="C12" s="8" t="inlineStr">
        <is>
          <t>GOV-POL-01</t>
        </is>
      </c>
      <c r="D12" s="8" t="inlineStr">
        <is>
          <t>Chief Executive Officer</t>
        </is>
      </c>
      <c r="E12" s="8" t="n">
        <v>1</v>
      </c>
      <c r="F12" s="8" t="n">
        <v>1</v>
      </c>
      <c r="G12" s="9">
        <f>IF(OR(E12="",F12=""),"",F12-E12+1)</f>
        <v/>
      </c>
      <c r="H12" s="8" t="n"/>
      <c r="I12" s="8" t="n"/>
      <c r="J12" s="8" t="n"/>
    </row>
    <row r="13" ht="28" customHeight="1">
      <c r="A13" s="8" t="inlineStr">
        <is>
          <t>1. Management support and charter</t>
        </is>
      </c>
      <c r="B13" s="8" t="inlineStr">
        <is>
          <t>Form the steering committee with charter, quorum and monthly cadence</t>
        </is>
      </c>
      <c r="C13" s="8" t="inlineStr">
        <is>
          <t>GOV-POL-01</t>
        </is>
      </c>
      <c r="D13" s="8" t="inlineStr">
        <is>
          <t>Chief Executive Officer</t>
        </is>
      </c>
      <c r="E13" s="8" t="n">
        <v>1</v>
      </c>
      <c r="F13" s="8" t="n">
        <v>2</v>
      </c>
      <c r="G13" s="9">
        <f>IF(OR(E13="",F13=""),"",F13-E13+1)</f>
        <v/>
      </c>
      <c r="H13" s="8" t="n"/>
      <c r="I13" s="8" t="n"/>
      <c r="J13" s="8" t="n"/>
    </row>
    <row r="14" ht="28" customHeight="1">
      <c r="A14" s="8" t="inlineStr">
        <is>
          <t>1. Management support and charter</t>
        </is>
      </c>
      <c r="B14" s="8" t="inlineStr">
        <is>
          <t>Sign the top management commitment statement</t>
        </is>
      </c>
      <c r="C14" s="8" t="inlineStr">
        <is>
          <t>GOV-STM-01</t>
        </is>
      </c>
      <c r="D14" s="8" t="inlineStr">
        <is>
          <t>Chief Executive Officer</t>
        </is>
      </c>
      <c r="E14" s="8" t="n">
        <v>2</v>
      </c>
      <c r="F14" s="8" t="n">
        <v>2</v>
      </c>
      <c r="G14" s="9">
        <f>IF(OR(E14="",F14=""),"",F14-E14+1)</f>
        <v/>
      </c>
      <c r="H14" s="8" t="n"/>
      <c r="I14" s="8" t="n"/>
      <c r="J14" s="8" t="n"/>
    </row>
    <row r="15" ht="28" customHeight="1">
      <c r="A15" s="8" t="inlineStr">
        <is>
          <t>1. Management support and charter</t>
        </is>
      </c>
      <c r="B15" s="8" t="inlineStr">
        <is>
          <t>Hold the first steering committee meeting and minute the target date and budget</t>
        </is>
      </c>
      <c r="C15" s="8" t="inlineStr">
        <is>
          <t>GOV-TPL-03</t>
        </is>
      </c>
      <c r="D15" s="8" t="inlineStr">
        <is>
          <t>Information Security Manager</t>
        </is>
      </c>
      <c r="E15" s="8" t="n">
        <v>2</v>
      </c>
      <c r="F15" s="8" t="n">
        <v>2</v>
      </c>
      <c r="G15" s="9">
        <f>IF(OR(E15="",F15=""),"",F15-E15+1)</f>
        <v/>
      </c>
      <c r="H15" s="8" t="n"/>
      <c r="I15" s="8" t="n"/>
      <c r="J15" s="8" t="n"/>
    </row>
    <row r="16" ht="28" customHeight="1">
      <c r="A16" s="8" t="inlineStr">
        <is>
          <t>2. Scope and context</t>
        </is>
      </c>
      <c r="B16" s="8" t="inlineStr">
        <is>
          <t>Circulate the context preparation pack to workshop participants</t>
        </is>
      </c>
      <c r="C16" s="8" t="inlineStr">
        <is>
          <t>ISMS-PRO-01</t>
        </is>
      </c>
      <c r="D16" s="8" t="inlineStr">
        <is>
          <t>Information Security Manager</t>
        </is>
      </c>
      <c r="E16" s="8" t="n">
        <v>2</v>
      </c>
      <c r="F16" s="8" t="n">
        <v>2</v>
      </c>
      <c r="G16" s="9">
        <f>IF(OR(E16="",F16=""),"",F16-E16+1)</f>
        <v/>
      </c>
      <c r="H16" s="8" t="n"/>
      <c r="I16" s="8" t="n"/>
      <c r="J16" s="8" t="n"/>
    </row>
    <row r="17" ht="28" customHeight="1">
      <c r="A17" s="8" t="inlineStr">
        <is>
          <t>2. Scope and context</t>
        </is>
      </c>
      <c r="B17" s="8" t="inlineStr">
        <is>
          <t>Hold the context workshop covering internal and external issues</t>
        </is>
      </c>
      <c r="C17" s="8" t="inlineStr">
        <is>
          <t>ISMS-PRO-01</t>
        </is>
      </c>
      <c r="D17" s="8" t="inlineStr">
        <is>
          <t>Information Security Manager</t>
        </is>
      </c>
      <c r="E17" s="8" t="n">
        <v>3</v>
      </c>
      <c r="F17" s="8" t="n">
        <v>3</v>
      </c>
      <c r="G17" s="9">
        <f>IF(OR(E17="",F17=""),"",F17-E17+1)</f>
        <v/>
      </c>
      <c r="H17" s="8" t="n"/>
      <c r="I17" s="8" t="n"/>
      <c r="J17" s="8" t="n"/>
    </row>
    <row r="18" ht="28" customHeight="1">
      <c r="A18" s="8" t="inlineStr">
        <is>
          <t>2. Scope and context</t>
        </is>
      </c>
      <c r="B18" s="8" t="inlineStr">
        <is>
          <t>Populate the interested parties and requirements register</t>
        </is>
      </c>
      <c r="C18" s="8" t="inlineStr">
        <is>
          <t>ISMS-REG-03</t>
        </is>
      </c>
      <c r="D18" s="8" t="inlineStr">
        <is>
          <t>Information Security Manager</t>
        </is>
      </c>
      <c r="E18" s="8" t="n">
        <v>3</v>
      </c>
      <c r="F18" s="8" t="n">
        <v>4</v>
      </c>
      <c r="G18" s="9">
        <f>IF(OR(E18="",F18=""),"",F18-E18+1)</f>
        <v/>
      </c>
      <c r="H18" s="8" t="n"/>
      <c r="I18" s="8" t="n"/>
      <c r="J18" s="8" t="n"/>
    </row>
    <row r="19" ht="28" customHeight="1">
      <c r="A19" s="8" t="inlineStr">
        <is>
          <t>2. Scope and context</t>
        </is>
      </c>
      <c r="B19" s="8" t="inlineStr">
        <is>
          <t>Draft the scope statement with the shared responsibility split and justified exclusions</t>
        </is>
      </c>
      <c r="C19" s="8" t="inlineStr">
        <is>
          <t>ISMS-STM-01</t>
        </is>
      </c>
      <c r="D19" s="8" t="inlineStr">
        <is>
          <t>Information Security Manager</t>
        </is>
      </c>
      <c r="E19" s="8" t="n">
        <v>3</v>
      </c>
      <c r="F19" s="8" t="n">
        <v>4</v>
      </c>
      <c r="G19" s="9">
        <f>IF(OR(E19="",F19=""),"",F19-E19+1)</f>
        <v/>
      </c>
      <c r="H19" s="8" t="n"/>
      <c r="I19" s="8" t="n"/>
      <c r="J19" s="8" t="n"/>
    </row>
    <row r="20" ht="28" customHeight="1">
      <c r="A20" s="8" t="inlineStr">
        <is>
          <t>2. Scope and context</t>
        </is>
      </c>
      <c r="B20" s="8" t="inlineStr">
        <is>
          <t>Approve the scope statement at the steering committee</t>
        </is>
      </c>
      <c r="C20" s="8" t="inlineStr">
        <is>
          <t>ISMS-STM-01</t>
        </is>
      </c>
      <c r="D20" s="8" t="inlineStr">
        <is>
          <t>Chief Executive Officer</t>
        </is>
      </c>
      <c r="E20" s="8" t="n">
        <v>4</v>
      </c>
      <c r="F20" s="8" t="n">
        <v>4</v>
      </c>
      <c r="G20" s="9">
        <f>IF(OR(E20="",F20=""),"",F20-E20+1)</f>
        <v/>
      </c>
      <c r="H20" s="8" t="n"/>
      <c r="I20" s="8" t="n"/>
      <c r="J20" s="8" t="n"/>
    </row>
    <row r="21" ht="28" customHeight="1">
      <c r="A21" s="8" t="inlineStr">
        <is>
          <t>3. Gap analysis</t>
        </is>
      </c>
      <c r="B21" s="8" t="inlineStr">
        <is>
          <t>Complete the readiness questionnaire with the owner of each domain</t>
        </is>
      </c>
      <c r="C21" s="8" t="inlineStr">
        <is>
          <t>GOV-REG-28</t>
        </is>
      </c>
      <c r="D21" s="8" t="inlineStr">
        <is>
          <t>Information Security Manager</t>
        </is>
      </c>
      <c r="E21" s="8" t="n">
        <v>4</v>
      </c>
      <c r="F21" s="8" t="n">
        <v>5</v>
      </c>
      <c r="G21" s="9">
        <f>IF(OR(E21="",F21=""),"",F21-E21+1)</f>
        <v/>
      </c>
      <c r="H21" s="8" t="n"/>
      <c r="I21" s="8" t="n"/>
      <c r="J21" s="8" t="n"/>
    </row>
    <row r="22" ht="28" customHeight="1">
      <c r="A22" s="8" t="inlineStr">
        <is>
          <t>3. Gap analysis</t>
        </is>
      </c>
      <c r="B22" s="8" t="inlineStr">
        <is>
          <t>Walk the Annex A tables control by control and record the state of each</t>
        </is>
      </c>
      <c r="C22" s="8" t="inlineStr">
        <is>
          <t>ISMS-GDE-01</t>
        </is>
      </c>
      <c r="D22" s="8" t="inlineStr">
        <is>
          <t>Information Security Manager</t>
        </is>
      </c>
      <c r="E22" s="8" t="n">
        <v>5</v>
      </c>
      <c r="F22" s="8" t="n">
        <v>6</v>
      </c>
      <c r="G22" s="9">
        <f>IF(OR(E22="",F22=""),"",F22-E22+1)</f>
        <v/>
      </c>
      <c r="H22" s="8" t="n"/>
      <c r="I22" s="8" t="n"/>
      <c r="J22" s="8" t="n"/>
    </row>
    <row r="23" ht="28" customHeight="1">
      <c r="A23" s="8" t="inlineStr">
        <is>
          <t>3. Gap analysis</t>
        </is>
      </c>
      <c r="B23" s="8" t="inlineStr">
        <is>
          <t>Load every gap into this plan as a task with owner and planned weeks</t>
        </is>
      </c>
      <c r="C23" s="8" t="inlineStr">
        <is>
          <t>ISMS-REG-05</t>
        </is>
      </c>
      <c r="D23" s="8" t="inlineStr">
        <is>
          <t>Information Security Manager</t>
        </is>
      </c>
      <c r="E23" s="8" t="n">
        <v>6</v>
      </c>
      <c r="F23" s="8" t="n">
        <v>6</v>
      </c>
      <c r="G23" s="9">
        <f>IF(OR(E23="",F23=""),"",F23-E23+1)</f>
        <v/>
      </c>
      <c r="H23" s="8" t="n"/>
      <c r="I23" s="8" t="n"/>
      <c r="J23" s="8" t="n"/>
    </row>
    <row r="24" ht="28" customHeight="1">
      <c r="A24" s="8" t="inlineStr">
        <is>
          <t>3. Gap analysis</t>
        </is>
      </c>
      <c r="B24" s="8" t="inlineStr">
        <is>
          <t>Report the gap summary and the three largest visible risks to the steering committee</t>
        </is>
      </c>
      <c r="C24" s="8" t="inlineStr">
        <is>
          <t>GOV-TPL-03</t>
        </is>
      </c>
      <c r="D24" s="8" t="inlineStr">
        <is>
          <t>Information Security Manager</t>
        </is>
      </c>
      <c r="E24" s="8" t="n">
        <v>6</v>
      </c>
      <c r="F24" s="8" t="n">
        <v>6</v>
      </c>
      <c r="G24" s="9">
        <f>IF(OR(E24="",F24=""),"",F24-E24+1)</f>
        <v/>
      </c>
      <c r="H24" s="8" t="n"/>
      <c r="I24" s="8" t="n"/>
      <c r="J24" s="8" t="n"/>
    </row>
    <row r="25" ht="28" customHeight="1">
      <c r="A25" s="8" t="inlineStr">
        <is>
          <t>4. Policy and governance</t>
        </is>
      </c>
      <c r="B25" s="8" t="inlineStr">
        <is>
          <t>Issue the document control procedure and create the master list with every planned item as Draft</t>
        </is>
      </c>
      <c r="C25" s="8" t="inlineStr">
        <is>
          <t>GOV-PRO-01; GOV-REG-01</t>
        </is>
      </c>
      <c r="D25" s="8" t="inlineStr">
        <is>
          <t>Information Security Manager</t>
        </is>
      </c>
      <c r="E25" s="8" t="n">
        <v>5</v>
      </c>
      <c r="F25" s="8" t="n">
        <v>6</v>
      </c>
      <c r="G25" s="9">
        <f>IF(OR(E25="",F25=""),"",F25-E25+1)</f>
        <v/>
      </c>
      <c r="H25" s="8" t="n"/>
      <c r="I25" s="8" t="n"/>
      <c r="J25" s="8" t="n"/>
    </row>
    <row r="26" ht="28" customHeight="1">
      <c r="A26" s="8" t="inlineStr">
        <is>
          <t>4. Policy and governance</t>
        </is>
      </c>
      <c r="B26" s="8" t="inlineStr">
        <is>
          <t>Adapt and approve the information security policy</t>
        </is>
      </c>
      <c r="C26" s="8" t="inlineStr">
        <is>
          <t>GOV-POL-03</t>
        </is>
      </c>
      <c r="D26" s="8" t="inlineStr">
        <is>
          <t>Chief Executive Officer</t>
        </is>
      </c>
      <c r="E26" s="8" t="n">
        <v>6</v>
      </c>
      <c r="F26" s="8" t="n">
        <v>8</v>
      </c>
      <c r="G26" s="9">
        <f>IF(OR(E26="",F26=""),"",F26-E26+1)</f>
        <v/>
      </c>
      <c r="H26" s="8" t="n"/>
      <c r="I26" s="8" t="n"/>
      <c r="J26" s="8" t="n"/>
    </row>
    <row r="27" ht="28" customHeight="1">
      <c r="A27" s="8" t="inlineStr">
        <is>
          <t>4. Policy and governance</t>
        </is>
      </c>
      <c r="B27" s="8" t="inlineStr">
        <is>
          <t>Approve the governance framework with roles table and decision rights</t>
        </is>
      </c>
      <c r="C27" s="8" t="inlineStr">
        <is>
          <t>GOV-POL-01</t>
        </is>
      </c>
      <c r="D27" s="8" t="inlineStr">
        <is>
          <t>Chief Executive Officer</t>
        </is>
      </c>
      <c r="E27" s="8" t="n">
        <v>6</v>
      </c>
      <c r="F27" s="8" t="n">
        <v>8</v>
      </c>
      <c r="G27" s="9">
        <f>IF(OR(E27="",F27=""),"",F27-E27+1)</f>
        <v/>
      </c>
      <c r="H27" s="8" t="n"/>
      <c r="I27" s="8" t="n"/>
      <c r="J27" s="8" t="n"/>
    </row>
    <row r="28" ht="28" customHeight="1">
      <c r="A28" s="8" t="inlineStr">
        <is>
          <t>4. Policy and governance</t>
        </is>
      </c>
      <c r="B28" s="8" t="inlineStr">
        <is>
          <t>Issue the topic policies: acceptable use, clear desk, remote working, authentication</t>
        </is>
      </c>
      <c r="C28" s="8" t="inlineStr">
        <is>
          <t>GOV-POL-02; GOV-POL-04; GOV-POL-05; GOV-POL-06</t>
        </is>
      </c>
      <c r="D28" s="8" t="inlineStr">
        <is>
          <t>Information Security Manager</t>
        </is>
      </c>
      <c r="E28" s="8" t="n">
        <v>7</v>
      </c>
      <c r="F28" s="8" t="n">
        <v>9</v>
      </c>
      <c r="G28" s="9">
        <f>IF(OR(E28="",F28=""),"",F28-E28+1)</f>
        <v/>
      </c>
      <c r="H28" s="8" t="n"/>
      <c r="I28" s="8" t="n"/>
      <c r="J28" s="8" t="n"/>
    </row>
    <row r="29" ht="28" customHeight="1">
      <c r="A29" s="8" t="inlineStr">
        <is>
          <t>4. Policy and governance</t>
        </is>
      </c>
      <c r="B29" s="8" t="inlineStr">
        <is>
          <t>Issue the internal audit, management review, corrective action and exception procedures</t>
        </is>
      </c>
      <c r="C29" s="8" t="inlineStr">
        <is>
          <t>GOV-PRO-02; GOV-PRO-03; GOV-PRO-04; GOV-PRO-24</t>
        </is>
      </c>
      <c r="D29" s="8" t="inlineStr">
        <is>
          <t>Information Security Manager</t>
        </is>
      </c>
      <c r="E29" s="8" t="n">
        <v>7</v>
      </c>
      <c r="F29" s="8" t="n">
        <v>9</v>
      </c>
      <c r="G29" s="9">
        <f>IF(OR(E29="",F29=""),"",F29-E29+1)</f>
        <v/>
      </c>
      <c r="H29" s="8" t="n"/>
      <c r="I29" s="8" t="n"/>
      <c r="J29" s="8" t="n"/>
    </row>
    <row r="30" ht="28" customHeight="1">
      <c r="A30" s="8" t="inlineStr">
        <is>
          <t>4. Policy and governance</t>
        </is>
      </c>
      <c r="B30" s="8" t="inlineStr">
        <is>
          <t>Issue the communication plan and start collecting policy acknowledgements</t>
        </is>
      </c>
      <c r="C30" s="8" t="inlineStr">
        <is>
          <t>ISMS-PLN-02; GOV-REG-23</t>
        </is>
      </c>
      <c r="D30" s="8" t="inlineStr">
        <is>
          <t>Information Security Manager</t>
        </is>
      </c>
      <c r="E30" s="8" t="n">
        <v>8</v>
      </c>
      <c r="F30" s="8" t="n">
        <v>9</v>
      </c>
      <c r="G30" s="9">
        <f>IF(OR(E30="",F30=""),"",F30-E30+1)</f>
        <v/>
      </c>
      <c r="H30" s="8" t="n"/>
      <c r="I30" s="8" t="n"/>
      <c r="J30" s="8" t="n"/>
    </row>
    <row r="31" ht="28" customHeight="1">
      <c r="A31" s="8" t="inlineStr">
        <is>
          <t>5. Competence and awareness</t>
        </is>
      </c>
      <c r="B31" s="8" t="inlineStr">
        <is>
          <t>Complete the competence matrix and assess the people in security roles against it</t>
        </is>
      </c>
      <c r="C31" s="8" t="inlineStr">
        <is>
          <t>ISMS-PRO-02</t>
        </is>
      </c>
      <c r="D31" s="8" t="inlineStr">
        <is>
          <t>Information Security Manager</t>
        </is>
      </c>
      <c r="E31" s="8" t="n">
        <v>7</v>
      </c>
      <c r="F31" s="8" t="n">
        <v>8</v>
      </c>
      <c r="G31" s="9">
        <f>IF(OR(E31="",F31=""),"",F31-E31+1)</f>
        <v/>
      </c>
      <c r="H31" s="8" t="n"/>
      <c r="I31" s="8" t="n"/>
      <c r="J31" s="8" t="n"/>
    </row>
    <row r="32" ht="28" customHeight="1">
      <c r="A32" s="8" t="inlineStr">
        <is>
          <t>5. Competence and awareness</t>
        </is>
      </c>
      <c r="B32" s="8" t="inlineStr">
        <is>
          <t>Set up the training register and plan the gap closing actions with due dates</t>
        </is>
      </c>
      <c r="C32" s="8" t="inlineStr">
        <is>
          <t>GOV-REG-09</t>
        </is>
      </c>
      <c r="D32" s="8" t="inlineStr">
        <is>
          <t>Head of People</t>
        </is>
      </c>
      <c r="E32" s="8" t="n">
        <v>8</v>
      </c>
      <c r="F32" s="8" t="n">
        <v>10</v>
      </c>
      <c r="G32" s="9">
        <f>IF(OR(E32="",F32=""),"",F32-E32+1)</f>
        <v/>
      </c>
      <c r="H32" s="8" t="n"/>
      <c r="I32" s="8" t="n"/>
      <c r="J32" s="8" t="n"/>
    </row>
    <row r="33" ht="28" customHeight="1">
      <c r="A33" s="8" t="inlineStr">
        <is>
          <t>5. Competence and awareness</t>
        </is>
      </c>
      <c r="B33" s="8" t="inlineStr">
        <is>
          <t>Name the internal auditor and arrange training, or engage an external auditor</t>
        </is>
      </c>
      <c r="C33" s="8" t="inlineStr">
        <is>
          <t>ISMS-PRO-02</t>
        </is>
      </c>
      <c r="D33" s="8" t="inlineStr">
        <is>
          <t>Information Security Manager</t>
        </is>
      </c>
      <c r="E33" s="8" t="n">
        <v>7</v>
      </c>
      <c r="F33" s="8" t="n">
        <v>8</v>
      </c>
      <c r="G33" s="9">
        <f>IF(OR(E33="",F33=""),"",F33-E33+1)</f>
        <v/>
      </c>
      <c r="H33" s="8" t="n"/>
      <c r="I33" s="8" t="n"/>
      <c r="J33" s="8" t="n"/>
    </row>
    <row r="34" ht="28" customHeight="1">
      <c r="A34" s="8" t="inlineStr">
        <is>
          <t>5. Competence and awareness</t>
        </is>
      </c>
      <c r="B34" s="8" t="inlineStr">
        <is>
          <t>Deliver the all staff awareness session and record attendance and acknowledgements</t>
        </is>
      </c>
      <c r="C34" s="8" t="inlineStr">
        <is>
          <t>GOV-PRO-08; GOV-TPL-10</t>
        </is>
      </c>
      <c r="D34" s="8" t="inlineStr">
        <is>
          <t>Information Security Manager</t>
        </is>
      </c>
      <c r="E34" s="8" t="n">
        <v>9</v>
      </c>
      <c r="F34" s="8" t="n">
        <v>10</v>
      </c>
      <c r="G34" s="9">
        <f>IF(OR(E34="",F34=""),"",F34-E34+1)</f>
        <v/>
      </c>
      <c r="H34" s="8" t="n"/>
      <c r="I34" s="8" t="n"/>
      <c r="J34" s="8" t="n"/>
    </row>
    <row r="35" ht="28" customHeight="1">
      <c r="A35" s="8" t="inlineStr">
        <is>
          <t>6. Assets</t>
        </is>
      </c>
      <c r="B35" s="8" t="inlineStr">
        <is>
          <t>Export the identity, device management, cloud account and finance asset lists</t>
        </is>
      </c>
      <c r="C35" s="8" t="inlineStr">
        <is>
          <t>GOV-PRO-16</t>
        </is>
      </c>
      <c r="D35" s="8" t="inlineStr">
        <is>
          <t>Head of Engineering</t>
        </is>
      </c>
      <c r="E35" s="8" t="n">
        <v>7</v>
      </c>
      <c r="F35" s="8" t="n">
        <v>7</v>
      </c>
      <c r="G35" s="9">
        <f>IF(OR(E35="",F35=""),"",F35-E35+1)</f>
        <v/>
      </c>
      <c r="H35" s="8" t="n"/>
      <c r="I35" s="8" t="n"/>
      <c r="J35" s="8" t="n"/>
    </row>
    <row r="36" ht="28" customHeight="1">
      <c r="A36" s="8" t="inlineStr">
        <is>
          <t>6. Assets</t>
        </is>
      </c>
      <c r="B36" s="8" t="inlineStr">
        <is>
          <t>Build the information asset register with an owner and a classification for every asset</t>
        </is>
      </c>
      <c r="C36" s="8" t="inlineStr">
        <is>
          <t>GOV-REG-10</t>
        </is>
      </c>
      <c r="D36" s="8" t="inlineStr">
        <is>
          <t>Information Security Manager</t>
        </is>
      </c>
      <c r="E36" s="8" t="n">
        <v>7</v>
      </c>
      <c r="F36" s="8" t="n">
        <v>9</v>
      </c>
      <c r="G36" s="9">
        <f>IF(OR(E36="",F36=""),"",F36-E36+1)</f>
        <v/>
      </c>
      <c r="H36" s="8" t="n"/>
      <c r="I36" s="8" t="n"/>
      <c r="J36" s="8" t="n"/>
    </row>
    <row r="37" ht="28" customHeight="1">
      <c r="A37" s="8" t="inlineStr">
        <is>
          <t>6. Assets</t>
        </is>
      </c>
      <c r="B37" s="8" t="inlineStr">
        <is>
          <t>Build the software and hardware inventory with patch cycle and end of support dates</t>
        </is>
      </c>
      <c r="C37" s="8" t="inlineStr">
        <is>
          <t>GOV-REG-24</t>
        </is>
      </c>
      <c r="D37" s="8" t="inlineStr">
        <is>
          <t>Head of Engineering</t>
        </is>
      </c>
      <c r="E37" s="8" t="n">
        <v>8</v>
      </c>
      <c r="F37" s="8" t="n">
        <v>9</v>
      </c>
      <c r="G37" s="9">
        <f>IF(OR(E37="",F37=""),"",F37-E37+1)</f>
        <v/>
      </c>
      <c r="H37" s="8" t="n"/>
      <c r="I37" s="8" t="n"/>
      <c r="J37" s="8" t="n"/>
    </row>
    <row r="38" ht="28" customHeight="1">
      <c r="A38" s="8" t="inlineStr">
        <is>
          <t>6. Assets</t>
        </is>
      </c>
      <c r="B38" s="8" t="inlineStr">
        <is>
          <t>Build the supplier register with a provisional tier for every supplier</t>
        </is>
      </c>
      <c r="C38" s="8" t="inlineStr">
        <is>
          <t>GOV-REG-07</t>
        </is>
      </c>
      <c r="D38" s="8" t="inlineStr">
        <is>
          <t>Head of Operations</t>
        </is>
      </c>
      <c r="E38" s="8" t="n">
        <v>8</v>
      </c>
      <c r="F38" s="8" t="n">
        <v>10</v>
      </c>
      <c r="G38" s="9">
        <f>IF(OR(E38="",F38=""),"",F38-E38+1)</f>
        <v/>
      </c>
      <c r="H38" s="8" t="n"/>
      <c r="I38" s="8" t="n"/>
      <c r="J38" s="8" t="n"/>
    </row>
    <row r="39" ht="28" customHeight="1">
      <c r="A39" s="8" t="inlineStr">
        <is>
          <t>6. Assets</t>
        </is>
      </c>
      <c r="B39" s="8" t="inlineStr">
        <is>
          <t>Build the data flow and interface inventory for flows across the scope boundary</t>
        </is>
      </c>
      <c r="C39" s="8" t="inlineStr">
        <is>
          <t>GOV-REG-25</t>
        </is>
      </c>
      <c r="D39" s="8" t="inlineStr">
        <is>
          <t>Head of Engineering</t>
        </is>
      </c>
      <c r="E39" s="8" t="n">
        <v>9</v>
      </c>
      <c r="F39" s="8" t="n">
        <v>10</v>
      </c>
      <c r="G39" s="9">
        <f>IF(OR(E39="",F39=""),"",F39-E39+1)</f>
        <v/>
      </c>
      <c r="H39" s="8" t="n"/>
      <c r="I39" s="8" t="n"/>
      <c r="J39" s="8" t="n"/>
    </row>
    <row r="40" ht="28" customHeight="1">
      <c r="A40" s="8" t="inlineStr">
        <is>
          <t>7. Risk method</t>
        </is>
      </c>
      <c r="B40" s="8" t="inlineStr">
        <is>
          <t>Adapt the risk methodology (scales, bands, acceptance authority, triggers) and approve it at the steering committee</t>
        </is>
      </c>
      <c r="C40" s="8" t="inlineStr">
        <is>
          <t>GOV-PRO-05</t>
        </is>
      </c>
      <c r="D40" s="8" t="inlineStr">
        <is>
          <t>Information Security Manager</t>
        </is>
      </c>
      <c r="E40" s="8" t="n">
        <v>9</v>
      </c>
      <c r="F40" s="8" t="n">
        <v>10</v>
      </c>
      <c r="G40" s="9">
        <f>IF(OR(E40="",F40=""),"",F40-E40+1)</f>
        <v/>
      </c>
      <c r="H40" s="8" t="n"/>
      <c r="I40" s="8" t="n"/>
      <c r="J40" s="8" t="n"/>
    </row>
    <row r="41" ht="28" customHeight="1">
      <c r="A41" s="8" t="inlineStr">
        <is>
          <t>7. Risk method</t>
        </is>
      </c>
      <c r="B41" s="8" t="inlineStr">
        <is>
          <t>Set up the risk register and the risk acceptance register</t>
        </is>
      </c>
      <c r="C41" s="8" t="inlineStr">
        <is>
          <t>GOV-REG-05; GOV-REG-06</t>
        </is>
      </c>
      <c r="D41" s="8" t="inlineStr">
        <is>
          <t>Information Security Manager</t>
        </is>
      </c>
      <c r="E41" s="8" t="n">
        <v>10</v>
      </c>
      <c r="F41" s="8" t="n">
        <v>10</v>
      </c>
      <c r="G41" s="9">
        <f>IF(OR(E41="",F41=""),"",F41-E41+1)</f>
        <v/>
      </c>
      <c r="H41" s="8" t="n"/>
      <c r="I41" s="8" t="n"/>
      <c r="J41" s="8" t="n"/>
    </row>
    <row r="42" ht="28" customHeight="1">
      <c r="A42" s="8" t="inlineStr">
        <is>
          <t>7. Risk method</t>
        </is>
      </c>
      <c r="B42" s="8" t="inlineStr">
        <is>
          <t>Brief the risk owners on the scenario method before the workshops</t>
        </is>
      </c>
      <c r="C42" s="8" t="inlineStr">
        <is>
          <t>GOV-PRO-05</t>
        </is>
      </c>
      <c r="D42" s="8" t="inlineStr">
        <is>
          <t>Information Security Manager</t>
        </is>
      </c>
      <c r="E42" s="8" t="n">
        <v>10</v>
      </c>
      <c r="F42" s="8" t="n">
        <v>10</v>
      </c>
      <c r="G42" s="9">
        <f>IF(OR(E42="",F42=""),"",F42-E42+1)</f>
        <v/>
      </c>
      <c r="H42" s="8" t="n"/>
      <c r="I42" s="8" t="n"/>
      <c r="J42" s="8" t="n"/>
    </row>
    <row r="43" ht="28" customHeight="1">
      <c r="A43" s="8" t="inlineStr">
        <is>
          <t>8. Risk assessment</t>
        </is>
      </c>
      <c r="B43" s="8" t="inlineStr">
        <is>
          <t>Run the product and infrastructure risk workshop</t>
        </is>
      </c>
      <c r="C43" s="8" t="inlineStr">
        <is>
          <t>GOV-REG-05</t>
        </is>
      </c>
      <c r="D43" s="8" t="inlineStr">
        <is>
          <t>Head of Engineering</t>
        </is>
      </c>
      <c r="E43" s="8" t="n">
        <v>11</v>
      </c>
      <c r="F43" s="8" t="n">
        <v>11</v>
      </c>
      <c r="G43" s="9">
        <f>IF(OR(E43="",F43=""),"",F43-E43+1)</f>
        <v/>
      </c>
      <c r="H43" s="8" t="n"/>
      <c r="I43" s="8" t="n"/>
      <c r="J43" s="8" t="n"/>
    </row>
    <row r="44" ht="28" customHeight="1">
      <c r="A44" s="8" t="inlineStr">
        <is>
          <t>8. Risk assessment</t>
        </is>
      </c>
      <c r="B44" s="8" t="inlineStr">
        <is>
          <t>Run the people, access and corporate systems risk workshop</t>
        </is>
      </c>
      <c r="C44" s="8" t="inlineStr">
        <is>
          <t>GOV-REG-05</t>
        </is>
      </c>
      <c r="D44" s="8" t="inlineStr">
        <is>
          <t>Head of People</t>
        </is>
      </c>
      <c r="E44" s="8" t="n">
        <v>11</v>
      </c>
      <c r="F44" s="8" t="n">
        <v>12</v>
      </c>
      <c r="G44" s="9">
        <f>IF(OR(E44="",F44=""),"",F44-E44+1)</f>
        <v/>
      </c>
      <c r="H44" s="8" t="n"/>
      <c r="I44" s="8" t="n"/>
      <c r="J44" s="8" t="n"/>
    </row>
    <row r="45" ht="28" customHeight="1">
      <c r="A45" s="8" t="inlineStr">
        <is>
          <t>8. Risk assessment</t>
        </is>
      </c>
      <c r="B45" s="8" t="inlineStr">
        <is>
          <t>Run the suppliers, cloud, offices and devices risk workshop</t>
        </is>
      </c>
      <c r="C45" s="8" t="inlineStr">
        <is>
          <t>GOV-REG-05</t>
        </is>
      </c>
      <c r="D45" s="8" t="inlineStr">
        <is>
          <t>Head of Operations</t>
        </is>
      </c>
      <c r="E45" s="8" t="n">
        <v>12</v>
      </c>
      <c r="F45" s="8" t="n">
        <v>12</v>
      </c>
      <c r="G45" s="9">
        <f>IF(OR(E45="",F45=""),"",F45-E45+1)</f>
        <v/>
      </c>
      <c r="H45" s="8" t="n"/>
      <c r="I45" s="8" t="n"/>
      <c r="J45" s="8" t="n"/>
    </row>
    <row r="46" ht="28" customHeight="1">
      <c r="A46" s="8" t="inlineStr">
        <is>
          <t>8. Risk assessment</t>
        </is>
      </c>
      <c r="B46" s="8" t="inlineStr">
        <is>
          <t>Risk owners confirm their rows with raw scores and treatment options</t>
        </is>
      </c>
      <c r="C46" s="8" t="inlineStr">
        <is>
          <t>GOV-REG-05</t>
        </is>
      </c>
      <c r="D46" s="8" t="inlineStr">
        <is>
          <t>Risk owner</t>
        </is>
      </c>
      <c r="E46" s="8" t="n">
        <v>12</v>
      </c>
      <c r="F46" s="8" t="n">
        <v>13</v>
      </c>
      <c r="G46" s="9">
        <f>IF(OR(E46="",F46=""),"",F46-E46+1)</f>
        <v/>
      </c>
      <c r="H46" s="8" t="n"/>
      <c r="I46" s="8" t="n"/>
      <c r="J46" s="8" t="n"/>
    </row>
    <row r="47" ht="28" customHeight="1">
      <c r="A47" s="8" t="inlineStr">
        <is>
          <t>8. Risk assessment</t>
        </is>
      </c>
      <c r="B47" s="8" t="inlineStr">
        <is>
          <t>Present the heat map and the risks above appetite to the steering committee</t>
        </is>
      </c>
      <c r="C47" s="8" t="inlineStr">
        <is>
          <t>GOV-TPL-03</t>
        </is>
      </c>
      <c r="D47" s="8" t="inlineStr">
        <is>
          <t>Information Security Manager</t>
        </is>
      </c>
      <c r="E47" s="8" t="n">
        <v>13</v>
      </c>
      <c r="F47" s="8" t="n">
        <v>13</v>
      </c>
      <c r="G47" s="9">
        <f>IF(OR(E47="",F47=""),"",F47-E47+1)</f>
        <v/>
      </c>
      <c r="H47" s="8" t="n"/>
      <c r="I47" s="8" t="n"/>
      <c r="J47" s="8" t="n"/>
    </row>
    <row r="48" ht="28" customHeight="1">
      <c r="A48" s="8" t="inlineStr">
        <is>
          <t>9. Treatment and Statement of Applicability</t>
        </is>
      </c>
      <c r="B48" s="8" t="inlineStr">
        <is>
          <t>Define treatment actions with owner and due date for every risk above appetite</t>
        </is>
      </c>
      <c r="C48" s="8" t="inlineStr">
        <is>
          <t>GOV-REG-05</t>
        </is>
      </c>
      <c r="D48" s="8" t="inlineStr">
        <is>
          <t>Risk owner</t>
        </is>
      </c>
      <c r="E48" s="8" t="n">
        <v>13</v>
      </c>
      <c r="F48" s="8" t="n">
        <v>14</v>
      </c>
      <c r="G48" s="9">
        <f>IF(OR(E48="",F48=""),"",F48-E48+1)</f>
        <v/>
      </c>
      <c r="H48" s="8" t="n"/>
      <c r="I48" s="8" t="n"/>
      <c r="J48" s="8" t="n"/>
    </row>
    <row r="49" ht="28" customHeight="1">
      <c r="A49" s="8" t="inlineStr">
        <is>
          <t>9. Treatment and Statement of Applicability</t>
        </is>
      </c>
      <c r="B49" s="8" t="inlineStr">
        <is>
          <t>Complete the Statement of Applicability for all 93 controls and approve version 1.0</t>
        </is>
      </c>
      <c r="C49" s="8" t="inlineStr">
        <is>
          <t>ISMS-REG-01</t>
        </is>
      </c>
      <c r="D49" s="8" t="inlineStr">
        <is>
          <t>Information Security Manager</t>
        </is>
      </c>
      <c r="E49" s="8" t="n">
        <v>14</v>
      </c>
      <c r="F49" s="8" t="n">
        <v>16</v>
      </c>
      <c r="G49" s="9">
        <f>IF(OR(E49="",F49=""),"",F49-E49+1)</f>
        <v/>
      </c>
      <c r="H49" s="8" t="n"/>
      <c r="I49" s="8" t="n"/>
      <c r="J49" s="8" t="n"/>
    </row>
    <row r="50" ht="28" customHeight="1">
      <c r="A50" s="8" t="inlineStr">
        <is>
          <t>9. Treatment and Statement of Applicability</t>
        </is>
      </c>
      <c r="B50" s="8" t="inlineStr">
        <is>
          <t>Load treatment actions and Planned or Partial controls into the control tracker as tasks</t>
        </is>
      </c>
      <c r="C50" s="8" t="inlineStr">
        <is>
          <t>ISMS-REG-02</t>
        </is>
      </c>
      <c r="D50" s="8" t="inlineStr">
        <is>
          <t>Information Security Manager</t>
        </is>
      </c>
      <c r="E50" s="8" t="n">
        <v>15</v>
      </c>
      <c r="F50" s="8" t="n">
        <v>15</v>
      </c>
      <c r="G50" s="9">
        <f>IF(OR(E50="",F50=""),"",F50-E50+1)</f>
        <v/>
      </c>
      <c r="H50" s="8" t="n"/>
      <c r="I50" s="8" t="n"/>
      <c r="J50" s="8" t="n"/>
    </row>
    <row r="51" ht="28" customHeight="1">
      <c r="A51" s="8" t="inlineStr">
        <is>
          <t>9. Treatment and Statement of Applicability</t>
        </is>
      </c>
      <c r="B51" s="8" t="inlineStr">
        <is>
          <t>Issue the operational procedures that the applicable controls need</t>
        </is>
      </c>
      <c r="C51" s="8" t="inlineStr">
        <is>
          <t>GOV-PRO-06 to GOV-PRO-27 as applicable</t>
        </is>
      </c>
      <c r="D51" s="8" t="inlineStr">
        <is>
          <t>Information Security Manager</t>
        </is>
      </c>
      <c r="E51" s="8" t="n">
        <v>14</v>
      </c>
      <c r="F51" s="8" t="n">
        <v>16</v>
      </c>
      <c r="G51" s="9">
        <f>IF(OR(E51="",F51=""),"",F51-E51+1)</f>
        <v/>
      </c>
      <c r="H51" s="8" t="n"/>
      <c r="I51" s="8" t="n"/>
      <c r="J51" s="8" t="n"/>
    </row>
    <row r="52" ht="28" customHeight="1">
      <c r="A52" s="8" t="inlineStr">
        <is>
          <t>9. Treatment and Statement of Applicability</t>
        </is>
      </c>
      <c r="B52" s="8" t="inlineStr">
        <is>
          <t>Issue the operational planning and control procedure with the process inventory</t>
        </is>
      </c>
      <c r="C52" s="8" t="inlineStr">
        <is>
          <t>ISMS-PRO-03</t>
        </is>
      </c>
      <c r="D52" s="8" t="inlineStr">
        <is>
          <t>Information Security Manager</t>
        </is>
      </c>
      <c r="E52" s="8" t="n">
        <v>15</v>
      </c>
      <c r="F52" s="8" t="n">
        <v>16</v>
      </c>
      <c r="G52" s="9">
        <f>IF(OR(E52="",F52=""),"",F52-E52+1)</f>
        <v/>
      </c>
      <c r="H52" s="8" t="n"/>
      <c r="I52" s="8" t="n"/>
      <c r="J52" s="8" t="n"/>
    </row>
    <row r="53" ht="28" customHeight="1">
      <c r="A53" s="8" t="inlineStr">
        <is>
          <t>9. Treatment and Statement of Applicability</t>
        </is>
      </c>
      <c r="B53" s="8" t="inlineStr">
        <is>
          <t>Set the objectives and the measurement set and approve them at the steering committee</t>
        </is>
      </c>
      <c r="C53" s="8" t="inlineStr">
        <is>
          <t>ISMS-PLN-01; ISMS-PRO-04; GOV-REG-21</t>
        </is>
      </c>
      <c r="D53" s="8" t="inlineStr">
        <is>
          <t>Information Security Manager</t>
        </is>
      </c>
      <c r="E53" s="8" t="n">
        <v>15</v>
      </c>
      <c r="F53" s="8" t="n">
        <v>16</v>
      </c>
      <c r="G53" s="9">
        <f>IF(OR(E53="",F53=""),"",F53-E53+1)</f>
        <v/>
      </c>
      <c r="H53" s="8" t="n"/>
      <c r="I53" s="8" t="n"/>
      <c r="J53" s="8" t="n"/>
    </row>
    <row r="54" ht="28" customHeight="1">
      <c r="A54" s="8" t="inlineStr">
        <is>
          <t>10. Operate and measure</t>
        </is>
      </c>
      <c r="B54" s="8" t="inlineStr">
        <is>
          <t>Implement treatment actions and attach operating evidence to each control</t>
        </is>
      </c>
      <c r="C54" s="8" t="inlineStr">
        <is>
          <t>ISMS-REG-02</t>
        </is>
      </c>
      <c r="D54" s="8" t="inlineStr">
        <is>
          <t>Control owner</t>
        </is>
      </c>
      <c r="E54" s="8" t="n">
        <v>14</v>
      </c>
      <c r="F54" s="8" t="n">
        <v>24</v>
      </c>
      <c r="G54" s="9">
        <f>IF(OR(E54="",F54=""),"",F54-E54+1)</f>
        <v/>
      </c>
      <c r="H54" s="8" t="n"/>
      <c r="I54" s="8" t="n"/>
      <c r="J54" s="8" t="n"/>
    </row>
    <row r="55" ht="28" customHeight="1">
      <c r="A55" s="8" t="inlineStr">
        <is>
          <t>10. Operate and measure</t>
        </is>
      </c>
      <c r="B55" s="8" t="inlineStr">
        <is>
          <t>Select and book the certification body for stage 1 and stage 2</t>
        </is>
      </c>
      <c r="C55" s="8" t="inlineStr">
        <is>
          <t>ISMS-GDE-03</t>
        </is>
      </c>
      <c r="D55" s="8" t="inlineStr">
        <is>
          <t>Information Security Manager</t>
        </is>
      </c>
      <c r="E55" s="8" t="n">
        <v>14</v>
      </c>
      <c r="F55" s="8" t="n">
        <v>16</v>
      </c>
      <c r="G55" s="9">
        <f>IF(OR(E55="",F55=""),"",F55-E55+1)</f>
        <v/>
      </c>
      <c r="H55" s="8" t="n"/>
      <c r="I55" s="8" t="n"/>
      <c r="J55" s="8" t="n"/>
    </row>
    <row r="56" ht="28" customHeight="1">
      <c r="A56" s="8" t="inlineStr">
        <is>
          <t>10. Operate and measure</t>
        </is>
      </c>
      <c r="B56" s="8" t="inlineStr">
        <is>
          <t>Perform the first access review on every in-scope system and record it</t>
        </is>
      </c>
      <c r="C56" s="8" t="inlineStr">
        <is>
          <t>GOV-REG-12</t>
        </is>
      </c>
      <c r="D56" s="8" t="inlineStr">
        <is>
          <t>System Owner</t>
        </is>
      </c>
      <c r="E56" s="8" t="n">
        <v>17</v>
      </c>
      <c r="F56" s="8" t="n">
        <v>18</v>
      </c>
      <c r="G56" s="9">
        <f>IF(OR(E56="",F56=""),"",F56-E56+1)</f>
        <v/>
      </c>
      <c r="H56" s="8" t="n"/>
      <c r="I56" s="8" t="n"/>
      <c r="J56" s="8" t="n"/>
    </row>
    <row r="57" ht="28" customHeight="1">
      <c r="A57" s="8" t="inlineStr">
        <is>
          <t>10. Operate and measure</t>
        </is>
      </c>
      <c r="B57" s="8" t="inlineStr">
        <is>
          <t>Run a vulnerability cycle with closures inside the severity windows</t>
        </is>
      </c>
      <c r="C57" s="8" t="inlineStr">
        <is>
          <t>GOV-REG-14</t>
        </is>
      </c>
      <c r="D57" s="8" t="inlineStr">
        <is>
          <t>Head of Engineering</t>
        </is>
      </c>
      <c r="E57" s="8" t="n">
        <v>15</v>
      </c>
      <c r="F57" s="8" t="n">
        <v>22</v>
      </c>
      <c r="G57" s="9">
        <f>IF(OR(E57="",F57=""),"",F57-E57+1)</f>
        <v/>
      </c>
      <c r="H57" s="8" t="n"/>
      <c r="I57" s="8" t="n"/>
      <c r="J57" s="8" t="n"/>
    </row>
    <row r="58" ht="28" customHeight="1">
      <c r="A58" s="8" t="inlineStr">
        <is>
          <t>10. Operate and measure</t>
        </is>
      </c>
      <c r="B58" s="8" t="inlineStr">
        <is>
          <t>Route every production change through change management and keep the log</t>
        </is>
      </c>
      <c r="C58" s="8" t="inlineStr">
        <is>
          <t>GOV-REG-11</t>
        </is>
      </c>
      <c r="D58" s="8" t="inlineStr">
        <is>
          <t>Head of Engineering</t>
        </is>
      </c>
      <c r="E58" s="8" t="n">
        <v>14</v>
      </c>
      <c r="F58" s="8" t="n">
        <v>26</v>
      </c>
      <c r="G58" s="9">
        <f>IF(OR(E58="",F58=""),"",F58-E58+1)</f>
        <v/>
      </c>
      <c r="H58" s="8" t="n"/>
      <c r="I58" s="8" t="n"/>
      <c r="J58" s="8" t="n"/>
    </row>
    <row r="59" ht="28" customHeight="1">
      <c r="A59" s="8" t="inlineStr">
        <is>
          <t>10. Operate and measure</t>
        </is>
      </c>
      <c r="B59" s="8" t="inlineStr">
        <is>
          <t>Perform and record a restore test for each critical system</t>
        </is>
      </c>
      <c r="C59" s="8" t="inlineStr">
        <is>
          <t>GOV-REG-15</t>
        </is>
      </c>
      <c r="D59" s="8" t="inlineStr">
        <is>
          <t>Head of Engineering</t>
        </is>
      </c>
      <c r="E59" s="8" t="n">
        <v>18</v>
      </c>
      <c r="F59" s="8" t="n">
        <v>20</v>
      </c>
      <c r="G59" s="9">
        <f>IF(OR(E59="",F59=""),"",F59-E59+1)</f>
        <v/>
      </c>
      <c r="H59" s="8" t="n"/>
      <c r="I59" s="8" t="n"/>
      <c r="J59" s="8" t="n"/>
    </row>
    <row r="60" ht="28" customHeight="1">
      <c r="A60" s="8" t="inlineStr">
        <is>
          <t>10. Operate and measure</t>
        </is>
      </c>
      <c r="B60" s="8" t="inlineStr">
        <is>
          <t>Review every Tier 1 supplier and record the result and next review date</t>
        </is>
      </c>
      <c r="C60" s="8" t="inlineStr">
        <is>
          <t>GOV-REG-07</t>
        </is>
      </c>
      <c r="D60" s="8" t="inlineStr">
        <is>
          <t>Head of Operations</t>
        </is>
      </c>
      <c r="E60" s="8" t="n">
        <v>17</v>
      </c>
      <c r="F60" s="8" t="n">
        <v>21</v>
      </c>
      <c r="G60" s="9">
        <f>IF(OR(E60="",F60=""),"",F60-E60+1)</f>
        <v/>
      </c>
      <c r="H60" s="8" t="n"/>
      <c r="I60" s="8" t="n"/>
      <c r="J60" s="8" t="n"/>
    </row>
    <row r="61" ht="28" customHeight="1">
      <c r="A61" s="8" t="inlineStr">
        <is>
          <t>10. Operate and measure</t>
        </is>
      </c>
      <c r="B61" s="8" t="inlineStr">
        <is>
          <t>Run an incident exercise and record the lessons and actions</t>
        </is>
      </c>
      <c r="C61" s="8" t="inlineStr">
        <is>
          <t>GOV-REG-16; GOV-REG-08</t>
        </is>
      </c>
      <c r="D61" s="8" t="inlineStr">
        <is>
          <t>Incident Lead</t>
        </is>
      </c>
      <c r="E61" s="8" t="n">
        <v>19</v>
      </c>
      <c r="F61" s="8" t="n">
        <v>20</v>
      </c>
      <c r="G61" s="9">
        <f>IF(OR(E61="",F61=""),"",F61-E61+1)</f>
        <v/>
      </c>
      <c r="H61" s="8" t="n"/>
      <c r="I61" s="8" t="n"/>
      <c r="J61" s="8" t="n"/>
    </row>
    <row r="62" ht="28" customHeight="1">
      <c r="A62" s="8" t="inlineStr">
        <is>
          <t>10. Operate and measure</t>
        </is>
      </c>
      <c r="B62" s="8" t="inlineStr">
        <is>
          <t>Hold the monthly operations review and file the notes</t>
        </is>
      </c>
      <c r="C62" s="8" t="inlineStr">
        <is>
          <t>ISMS-PRO-03</t>
        </is>
      </c>
      <c r="D62" s="8" t="inlineStr">
        <is>
          <t>Information Security Manager</t>
        </is>
      </c>
      <c r="E62" s="8" t="n">
        <v>15</v>
      </c>
      <c r="F62" s="8" t="n">
        <v>26</v>
      </c>
      <c r="G62" s="9">
        <f>IF(OR(E62="",F62=""),"",F62-E62+1)</f>
        <v/>
      </c>
      <c r="H62" s="8" t="n"/>
      <c r="I62" s="8" t="n"/>
      <c r="J62" s="8" t="n"/>
    </row>
    <row r="63" ht="28" customHeight="1">
      <c r="A63" s="8" t="inlineStr">
        <is>
          <t>10. Operate and measure</t>
        </is>
      </c>
      <c r="B63" s="8" t="inlineStr">
        <is>
          <t>Produce the first quarterly performance report and present it to the steering committee</t>
        </is>
      </c>
      <c r="C63" s="8" t="inlineStr">
        <is>
          <t>ISMS-PRO-04</t>
        </is>
      </c>
      <c r="D63" s="8" t="inlineStr">
        <is>
          <t>Information Security Manager</t>
        </is>
      </c>
      <c r="E63" s="8" t="n">
        <v>21</v>
      </c>
      <c r="F63" s="8" t="n">
        <v>22</v>
      </c>
      <c r="G63" s="9">
        <f>IF(OR(E63="",F63=""),"",F63-E63+1)</f>
        <v/>
      </c>
      <c r="H63" s="8" t="n"/>
      <c r="I63" s="8" t="n"/>
      <c r="J63" s="8" t="n"/>
    </row>
    <row r="64" ht="28" customHeight="1">
      <c r="A64" s="8" t="inlineStr">
        <is>
          <t>10. Operate and measure</t>
        </is>
      </c>
      <c r="B64" s="8" t="inlineStr">
        <is>
          <t>Organise the evidence folders by numbered area with the naming convention</t>
        </is>
      </c>
      <c r="C64" s="8" t="inlineStr">
        <is>
          <t>PB-09</t>
        </is>
      </c>
      <c r="D64" s="8" t="inlineStr">
        <is>
          <t>Information Security Manager</t>
        </is>
      </c>
      <c r="E64" s="8" t="n">
        <v>16</v>
      </c>
      <c r="F64" s="8" t="n">
        <v>24</v>
      </c>
      <c r="G64" s="9">
        <f>IF(OR(E64="",F64=""),"",F64-E64+1)</f>
        <v/>
      </c>
      <c r="H64" s="8" t="n"/>
      <c r="I64" s="8" t="n"/>
      <c r="J64" s="8" t="n"/>
    </row>
    <row r="65" ht="28" customHeight="1">
      <c r="A65" s="8" t="inlineStr">
        <is>
          <t>11. Internal audit and management review</t>
        </is>
      </c>
      <c r="B65" s="8" t="inlineStr">
        <is>
          <t>Issue the annual internal audit plan covering every clause and applicable control</t>
        </is>
      </c>
      <c r="C65" s="8" t="inlineStr">
        <is>
          <t>ISMS-PLN-03</t>
        </is>
      </c>
      <c r="D65" s="8" t="inlineStr">
        <is>
          <t>Internal Auditor</t>
        </is>
      </c>
      <c r="E65" s="8" t="n">
        <v>20</v>
      </c>
      <c r="F65" s="8" t="n">
        <v>21</v>
      </c>
      <c r="G65" s="9">
        <f>IF(OR(E65="",F65=""),"",F65-E65+1)</f>
        <v/>
      </c>
      <c r="H65" s="8" t="n"/>
      <c r="I65" s="8" t="n"/>
      <c r="J65" s="8" t="n"/>
    </row>
    <row r="66" ht="28" customHeight="1">
      <c r="A66" s="8" t="inlineStr">
        <is>
          <t>11. Internal audit and management review</t>
        </is>
      </c>
      <c r="B66" s="8" t="inlineStr">
        <is>
          <t>Perform the full system internal audit using the checklist and issue the report</t>
        </is>
      </c>
      <c r="C66" s="8" t="inlineStr">
        <is>
          <t>ISMS-REG-04; GOV-TPL-01</t>
        </is>
      </c>
      <c r="D66" s="8" t="inlineStr">
        <is>
          <t>Internal Auditor</t>
        </is>
      </c>
      <c r="E66" s="8" t="n">
        <v>21</v>
      </c>
      <c r="F66" s="8" t="n">
        <v>22</v>
      </c>
      <c r="G66" s="9">
        <f>IF(OR(E66="",F66=""),"",F66-E66+1)</f>
        <v/>
      </c>
      <c r="H66" s="8" t="n"/>
      <c r="I66" s="8" t="n"/>
      <c r="J66" s="8" t="n"/>
    </row>
    <row r="67" ht="28" customHeight="1">
      <c r="A67" s="8" t="inlineStr">
        <is>
          <t>11. Internal audit and management review</t>
        </is>
      </c>
      <c r="B67" s="8" t="inlineStr">
        <is>
          <t>Raise a corrective action for every finding and close or plan each one</t>
        </is>
      </c>
      <c r="C67" s="8" t="inlineStr">
        <is>
          <t>GOV-REG-03; GOV-TPL-02</t>
        </is>
      </c>
      <c r="D67" s="8" t="inlineStr">
        <is>
          <t>Information Security Manager</t>
        </is>
      </c>
      <c r="E67" s="8" t="n">
        <v>22</v>
      </c>
      <c r="F67" s="8" t="n">
        <v>24</v>
      </c>
      <c r="G67" s="9">
        <f>IF(OR(E67="",F67=""),"",F67-E67+1)</f>
        <v/>
      </c>
      <c r="H67" s="8" t="n"/>
      <c r="I67" s="8" t="n"/>
      <c r="J67" s="8" t="n"/>
    </row>
    <row r="68" ht="28" customHeight="1">
      <c r="A68" s="8" t="inlineStr">
        <is>
          <t>11. Internal audit and management review</t>
        </is>
      </c>
      <c r="B68" s="8" t="inlineStr">
        <is>
          <t>Hold the management review with every mandatory input and minute the decisions</t>
        </is>
      </c>
      <c r="C68" s="8" t="inlineStr">
        <is>
          <t>GOV-TPL-03; GOV-REG-22</t>
        </is>
      </c>
      <c r="D68" s="8" t="inlineStr">
        <is>
          <t>Chief Executive Officer</t>
        </is>
      </c>
      <c r="E68" s="8" t="n">
        <v>23</v>
      </c>
      <c r="F68" s="8" t="n">
        <v>24</v>
      </c>
      <c r="G68" s="9">
        <f>IF(OR(E68="",F68=""),"",F68-E68+1)</f>
        <v/>
      </c>
      <c r="H68" s="8" t="n"/>
      <c r="I68" s="8" t="n"/>
      <c r="J68" s="8" t="n"/>
    </row>
    <row r="69" ht="28" customHeight="1">
      <c r="A69" s="8" t="inlineStr">
        <is>
          <t>11. Internal audit and management review</t>
        </is>
      </c>
      <c r="B69" s="8" t="inlineStr">
        <is>
          <t>Run the pre-audit readiness checklist and fix what it shows</t>
        </is>
      </c>
      <c r="C69" s="8" t="inlineStr">
        <is>
          <t>GOV-CHK-03</t>
        </is>
      </c>
      <c r="D69" s="8" t="inlineStr">
        <is>
          <t>Information Security Manager</t>
        </is>
      </c>
      <c r="E69" s="8" t="n">
        <v>23</v>
      </c>
      <c r="F69" s="8" t="n">
        <v>24</v>
      </c>
      <c r="G69" s="9">
        <f>IF(OR(E69="",F69=""),"",F69-E69+1)</f>
        <v/>
      </c>
      <c r="H69" s="8" t="n"/>
      <c r="I69" s="8" t="n"/>
      <c r="J69" s="8" t="n"/>
    </row>
    <row r="70" ht="28" customHeight="1">
      <c r="A70" s="8" t="inlineStr">
        <is>
          <t>12. Certification</t>
        </is>
      </c>
      <c r="B70" s="8" t="inlineStr">
        <is>
          <t>Stage 1 audit: present the documented system and receive the concerns list</t>
        </is>
      </c>
      <c r="C70" s="8" t="inlineStr">
        <is>
          <t>ISMS-GDE-03</t>
        </is>
      </c>
      <c r="D70" s="8" t="inlineStr">
        <is>
          <t>Information Security Manager</t>
        </is>
      </c>
      <c r="E70" s="8" t="n">
        <v>25</v>
      </c>
      <c r="F70" s="8" t="n">
        <v>26</v>
      </c>
      <c r="G70" s="9">
        <f>IF(OR(E70="",F70=""),"",F70-E70+1)</f>
        <v/>
      </c>
      <c r="H70" s="8" t="n"/>
      <c r="I70" s="8" t="n"/>
      <c r="J70" s="8" t="n"/>
    </row>
    <row r="71" ht="28" customHeight="1">
      <c r="A71" s="8" t="inlineStr">
        <is>
          <t>12. Certification</t>
        </is>
      </c>
      <c r="B71" s="8" t="inlineStr">
        <is>
          <t>Address every stage 1 concern and confirm closure to the certification body</t>
        </is>
      </c>
      <c r="C71" s="8" t="inlineStr">
        <is>
          <t>GOV-REG-03</t>
        </is>
      </c>
      <c r="D71" s="8" t="inlineStr">
        <is>
          <t>Information Security Manager</t>
        </is>
      </c>
      <c r="E71" s="8" t="n">
        <v>26</v>
      </c>
      <c r="F71" s="8" t="n">
        <v>28</v>
      </c>
      <c r="G71" s="9">
        <f>IF(OR(E71="",F71=""),"",F71-E71+1)</f>
        <v/>
      </c>
      <c r="H71" s="8" t="n"/>
      <c r="I71" s="8" t="n"/>
      <c r="J71" s="8" t="n"/>
    </row>
    <row r="72" ht="28" customHeight="1">
      <c r="A72" s="8" t="inlineStr">
        <is>
          <t>12. Certification</t>
        </is>
      </c>
      <c r="B72" s="8" t="inlineStr">
        <is>
          <t>Stage 2 audit: make people and records available and log findings as they are raised</t>
        </is>
      </c>
      <c r="C72" s="8" t="inlineStr">
        <is>
          <t>GOV-REG-03</t>
        </is>
      </c>
      <c r="D72" s="8" t="inlineStr">
        <is>
          <t>Information Security Manager</t>
        </is>
      </c>
      <c r="E72" s="8" t="n">
        <v>30</v>
      </c>
      <c r="F72" s="8" t="n">
        <v>31</v>
      </c>
      <c r="G72" s="9">
        <f>IF(OR(E72="",F72=""),"",F72-E72+1)</f>
        <v/>
      </c>
      <c r="H72" s="8" t="n"/>
      <c r="I72" s="8" t="n"/>
      <c r="J72" s="8" t="n"/>
    </row>
    <row r="73" ht="28" customHeight="1">
      <c r="A73" s="8" t="inlineStr">
        <is>
          <t>12. Certification</t>
        </is>
      </c>
      <c r="B73" s="8" t="inlineStr">
        <is>
          <t>Submit corrective action plans for stage 2 findings and obtain the certificate</t>
        </is>
      </c>
      <c r="C73" s="8" t="inlineStr">
        <is>
          <t>GOV-REG-03</t>
        </is>
      </c>
      <c r="D73" s="8" t="inlineStr">
        <is>
          <t>Information Security Manager</t>
        </is>
      </c>
      <c r="E73" s="8" t="n">
        <v>32</v>
      </c>
      <c r="F73" s="8" t="n">
        <v>36</v>
      </c>
      <c r="G73" s="9">
        <f>IF(OR(E73="",F73=""),"",F73-E73+1)</f>
        <v/>
      </c>
      <c r="H73" s="8" t="n"/>
      <c r="I73" s="8" t="n"/>
      <c r="J73" s="8" t="n"/>
    </row>
    <row r="74" ht="28" customHeight="1">
      <c r="A74" s="8" t="inlineStr">
        <is>
          <t>12. Certification</t>
        </is>
      </c>
      <c r="B74" s="8" t="inlineStr">
        <is>
          <t>Update external communications with the certified scope wording and set the surveillance calendar</t>
        </is>
      </c>
      <c r="C74" s="8" t="inlineStr">
        <is>
          <t>ISMS-PLN-02; ISMS-STM-01</t>
        </is>
      </c>
      <c r="D74" s="8" t="inlineStr">
        <is>
          <t>Information Security Manager</t>
        </is>
      </c>
      <c r="E74" s="8" t="n">
        <v>36</v>
      </c>
      <c r="F74" s="8" t="n">
        <v>37</v>
      </c>
      <c r="G74" s="9">
        <f>IF(OR(E74="",F74=""),"",F74-E74+1)</f>
        <v/>
      </c>
      <c r="H74" s="8" t="n"/>
      <c r="I74" s="8" t="n"/>
      <c r="J74" s="8" t="n"/>
    </row>
    <row r="75" ht="28" customHeight="1">
      <c r="A75" s="8" t="n"/>
      <c r="B75" s="8" t="n"/>
      <c r="C75" s="8" t="n"/>
      <c r="D75" s="8" t="n"/>
      <c r="E75" s="8" t="n"/>
      <c r="F75" s="8" t="n"/>
      <c r="G75" s="9">
        <f>IF(OR(E75="",F75=""),"",F75-E75+1)</f>
        <v/>
      </c>
      <c r="H75" s="8" t="n"/>
      <c r="I75" s="8" t="n"/>
      <c r="J75" s="8" t="n"/>
    </row>
    <row r="76" ht="28" customHeight="1">
      <c r="A76" s="8" t="n"/>
      <c r="B76" s="8" t="n"/>
      <c r="C76" s="8" t="n"/>
      <c r="D76" s="8" t="n"/>
      <c r="E76" s="8" t="n"/>
      <c r="F76" s="8" t="n"/>
      <c r="G76" s="9">
        <f>IF(OR(E76="",F76=""),"",F76-E76+1)</f>
        <v/>
      </c>
      <c r="H76" s="8" t="n"/>
      <c r="I76" s="8" t="n"/>
      <c r="J76" s="8" t="n"/>
    </row>
    <row r="77" ht="28" customHeight="1">
      <c r="A77" s="8" t="n"/>
      <c r="B77" s="8" t="n"/>
      <c r="C77" s="8" t="n"/>
      <c r="D77" s="8" t="n"/>
      <c r="E77" s="8" t="n"/>
      <c r="F77" s="8" t="n"/>
      <c r="G77" s="9">
        <f>IF(OR(E77="",F77=""),"",F77-E77+1)</f>
        <v/>
      </c>
      <c r="H77" s="8" t="n"/>
      <c r="I77" s="8" t="n"/>
      <c r="J77" s="8" t="n"/>
    </row>
    <row r="78" ht="28" customHeight="1">
      <c r="A78" s="8" t="n"/>
      <c r="B78" s="8" t="n"/>
      <c r="C78" s="8" t="n"/>
      <c r="D78" s="8" t="n"/>
      <c r="E78" s="8" t="n"/>
      <c r="F78" s="8" t="n"/>
      <c r="G78" s="9">
        <f>IF(OR(E78="",F78=""),"",F78-E78+1)</f>
        <v/>
      </c>
      <c r="H78" s="8" t="n"/>
      <c r="I78" s="8" t="n"/>
      <c r="J78" s="8" t="n"/>
    </row>
    <row r="79" ht="28" customHeight="1">
      <c r="A79" s="8" t="n"/>
      <c r="B79" s="8" t="n"/>
      <c r="C79" s="8" t="n"/>
      <c r="D79" s="8" t="n"/>
      <c r="E79" s="8" t="n"/>
      <c r="F79" s="8" t="n"/>
      <c r="G79" s="9">
        <f>IF(OR(E79="",F79=""),"",F79-E79+1)</f>
        <v/>
      </c>
      <c r="H79" s="8" t="n"/>
      <c r="I79" s="8" t="n"/>
      <c r="J79" s="8" t="n"/>
    </row>
    <row r="80" ht="28" customHeight="1">
      <c r="A80" s="8" t="n"/>
      <c r="B80" s="8" t="n"/>
      <c r="C80" s="8" t="n"/>
      <c r="D80" s="8" t="n"/>
      <c r="E80" s="8" t="n"/>
      <c r="F80" s="8" t="n"/>
      <c r="G80" s="9">
        <f>IF(OR(E80="",F80=""),"",F80-E80+1)</f>
        <v/>
      </c>
      <c r="H80" s="8" t="n"/>
      <c r="I80" s="8" t="n"/>
      <c r="J80" s="8" t="n"/>
    </row>
    <row r="81" ht="28" customHeight="1">
      <c r="A81" s="8" t="n"/>
      <c r="B81" s="8" t="n"/>
      <c r="C81" s="8" t="n"/>
      <c r="D81" s="8" t="n"/>
      <c r="E81" s="8" t="n"/>
      <c r="F81" s="8" t="n"/>
      <c r="G81" s="9">
        <f>IF(OR(E81="",F81=""),"",F81-E81+1)</f>
        <v/>
      </c>
      <c r="H81" s="8" t="n"/>
      <c r="I81" s="8" t="n"/>
      <c r="J81" s="8" t="n"/>
    </row>
    <row r="82" ht="28" customHeight="1">
      <c r="A82" s="8" t="n"/>
      <c r="B82" s="8" t="n"/>
      <c r="C82" s="8" t="n"/>
      <c r="D82" s="8" t="n"/>
      <c r="E82" s="8" t="n"/>
      <c r="F82" s="8" t="n"/>
      <c r="G82" s="9">
        <f>IF(OR(E82="",F82=""),"",F82-E82+1)</f>
        <v/>
      </c>
      <c r="H82" s="8" t="n"/>
      <c r="I82" s="8" t="n"/>
      <c r="J82" s="8" t="n"/>
    </row>
    <row r="83" ht="28" customHeight="1">
      <c r="A83" s="8" t="n"/>
      <c r="B83" s="8" t="n"/>
      <c r="C83" s="8" t="n"/>
      <c r="D83" s="8" t="n"/>
      <c r="E83" s="8" t="n"/>
      <c r="F83" s="8" t="n"/>
      <c r="G83" s="9">
        <f>IF(OR(E83="",F83=""),"",F83-E83+1)</f>
        <v/>
      </c>
      <c r="H83" s="8" t="n"/>
      <c r="I83" s="8" t="n"/>
      <c r="J83" s="8" t="n"/>
    </row>
    <row r="84" ht="28" customHeight="1">
      <c r="A84" s="8" t="n"/>
      <c r="B84" s="8" t="n"/>
      <c r="C84" s="8" t="n"/>
      <c r="D84" s="8" t="n"/>
      <c r="E84" s="8" t="n"/>
      <c r="F84" s="8" t="n"/>
      <c r="G84" s="9">
        <f>IF(OR(E84="",F84=""),"",F84-E84+1)</f>
        <v/>
      </c>
      <c r="H84" s="8" t="n"/>
      <c r="I84" s="8" t="n"/>
      <c r="J84" s="8" t="n"/>
    </row>
    <row r="85" ht="28" customHeight="1">
      <c r="A85" s="8" t="n"/>
      <c r="B85" s="8" t="n"/>
      <c r="C85" s="8" t="n"/>
      <c r="D85" s="8" t="n"/>
      <c r="E85" s="8" t="n"/>
      <c r="F85" s="8" t="n"/>
      <c r="G85" s="9">
        <f>IF(OR(E85="",F85=""),"",F85-E85+1)</f>
        <v/>
      </c>
      <c r="H85" s="8" t="n"/>
      <c r="I85" s="8" t="n"/>
      <c r="J85" s="8" t="n"/>
    </row>
    <row r="86" ht="28" customHeight="1">
      <c r="A86" s="8" t="n"/>
      <c r="B86" s="8" t="n"/>
      <c r="C86" s="8" t="n"/>
      <c r="D86" s="8" t="n"/>
      <c r="E86" s="8" t="n"/>
      <c r="F86" s="8" t="n"/>
      <c r="G86" s="9">
        <f>IF(OR(E86="",F86=""),"",F86-E86+1)</f>
        <v/>
      </c>
      <c r="H86" s="8" t="n"/>
      <c r="I86" s="8" t="n"/>
      <c r="J86" s="8" t="n"/>
    </row>
    <row r="87" ht="28" customHeight="1">
      <c r="A87" s="8" t="n"/>
      <c r="B87" s="8" t="n"/>
      <c r="C87" s="8" t="n"/>
      <c r="D87" s="8" t="n"/>
      <c r="E87" s="8" t="n"/>
      <c r="F87" s="8" t="n"/>
      <c r="G87" s="9">
        <f>IF(OR(E87="",F87=""),"",F87-E87+1)</f>
        <v/>
      </c>
      <c r="H87" s="8" t="n"/>
      <c r="I87" s="8" t="n"/>
      <c r="J87" s="8" t="n"/>
    </row>
    <row r="88" ht="28" customHeight="1">
      <c r="A88" s="8" t="n"/>
      <c r="B88" s="8" t="n"/>
      <c r="C88" s="8" t="n"/>
      <c r="D88" s="8" t="n"/>
      <c r="E88" s="8" t="n"/>
      <c r="F88" s="8" t="n"/>
      <c r="G88" s="9">
        <f>IF(OR(E88="",F88=""),"",F88-E88+1)</f>
        <v/>
      </c>
      <c r="H88" s="8" t="n"/>
      <c r="I88" s="8" t="n"/>
      <c r="J88" s="8" t="n"/>
    </row>
    <row r="89" ht="28" customHeight="1">
      <c r="A89" s="8" t="n"/>
      <c r="B89" s="8" t="n"/>
      <c r="C89" s="8" t="n"/>
      <c r="D89" s="8" t="n"/>
      <c r="E89" s="8" t="n"/>
      <c r="F89" s="8" t="n"/>
      <c r="G89" s="9">
        <f>IF(OR(E89="",F89=""),"",F89-E89+1)</f>
        <v/>
      </c>
      <c r="H89" s="8" t="n"/>
      <c r="I89" s="8" t="n"/>
      <c r="J89" s="8" t="n"/>
    </row>
    <row r="90" ht="28" customHeight="1">
      <c r="A90" s="8" t="n"/>
      <c r="B90" s="8" t="n"/>
      <c r="C90" s="8" t="n"/>
      <c r="D90" s="8" t="n"/>
      <c r="E90" s="8" t="n"/>
      <c r="F90" s="8" t="n"/>
      <c r="G90" s="9">
        <f>IF(OR(E90="",F90=""),"",F90-E90+1)</f>
        <v/>
      </c>
      <c r="H90" s="8" t="n"/>
      <c r="I90" s="8" t="n"/>
      <c r="J90" s="8" t="n"/>
    </row>
    <row r="91" ht="28" customHeight="1">
      <c r="A91" s="8" t="n"/>
      <c r="B91" s="8" t="n"/>
      <c r="C91" s="8" t="n"/>
      <c r="D91" s="8" t="n"/>
      <c r="E91" s="8" t="n"/>
      <c r="F91" s="8" t="n"/>
      <c r="G91" s="9">
        <f>IF(OR(E91="",F91=""),"",F91-E91+1)</f>
        <v/>
      </c>
      <c r="H91" s="8" t="n"/>
      <c r="I91" s="8" t="n"/>
      <c r="J91" s="8" t="n"/>
    </row>
    <row r="92" ht="28" customHeight="1">
      <c r="A92" s="8" t="n"/>
      <c r="B92" s="8" t="n"/>
      <c r="C92" s="8" t="n"/>
      <c r="D92" s="8" t="n"/>
      <c r="E92" s="8" t="n"/>
      <c r="F92" s="8" t="n"/>
      <c r="G92" s="9">
        <f>IF(OR(E92="",F92=""),"",F92-E92+1)</f>
        <v/>
      </c>
      <c r="H92" s="8" t="n"/>
      <c r="I92" s="8" t="n"/>
      <c r="J92" s="8" t="n"/>
    </row>
    <row r="93" ht="28" customHeight="1">
      <c r="A93" s="8" t="n"/>
      <c r="B93" s="8" t="n"/>
      <c r="C93" s="8" t="n"/>
      <c r="D93" s="8" t="n"/>
      <c r="E93" s="8" t="n"/>
      <c r="F93" s="8" t="n"/>
      <c r="G93" s="9">
        <f>IF(OR(E93="",F93=""),"",F93-E93+1)</f>
        <v/>
      </c>
      <c r="H93" s="8" t="n"/>
      <c r="I93" s="8" t="n"/>
      <c r="J93" s="8" t="n"/>
    </row>
    <row r="94" ht="28" customHeight="1">
      <c r="A94" s="8" t="n"/>
      <c r="B94" s="8" t="n"/>
      <c r="C94" s="8" t="n"/>
      <c r="D94" s="8" t="n"/>
      <c r="E94" s="8" t="n"/>
      <c r="F94" s="8" t="n"/>
      <c r="G94" s="9">
        <f>IF(OR(E94="",F94=""),"",F94-E94+1)</f>
        <v/>
      </c>
      <c r="H94" s="8" t="n"/>
      <c r="I94" s="8" t="n"/>
      <c r="J94" s="8" t="n"/>
    </row>
    <row r="95" ht="28" customHeight="1">
      <c r="A95" s="8" t="n"/>
      <c r="B95" s="8" t="n"/>
      <c r="C95" s="8" t="n"/>
      <c r="D95" s="8" t="n"/>
      <c r="E95" s="8" t="n"/>
      <c r="F95" s="8" t="n"/>
      <c r="G95" s="9">
        <f>IF(OR(E95="",F95=""),"",F95-E95+1)</f>
        <v/>
      </c>
      <c r="H95" s="8" t="n"/>
      <c r="I95" s="8" t="n"/>
      <c r="J95" s="8" t="n"/>
    </row>
    <row r="96" ht="28" customHeight="1">
      <c r="A96" s="8" t="n"/>
      <c r="B96" s="8" t="n"/>
      <c r="C96" s="8" t="n"/>
      <c r="D96" s="8" t="n"/>
      <c r="E96" s="8" t="n"/>
      <c r="F96" s="8" t="n"/>
      <c r="G96" s="9">
        <f>IF(OR(E96="",F96=""),"",F96-E96+1)</f>
        <v/>
      </c>
      <c r="H96" s="8" t="n"/>
      <c r="I96" s="8" t="n"/>
      <c r="J96" s="8" t="n"/>
    </row>
    <row r="97" ht="28" customHeight="1">
      <c r="A97" s="8" t="n"/>
      <c r="B97" s="8" t="n"/>
      <c r="C97" s="8" t="n"/>
      <c r="D97" s="8" t="n"/>
      <c r="E97" s="8" t="n"/>
      <c r="F97" s="8" t="n"/>
      <c r="G97" s="9">
        <f>IF(OR(E97="",F97=""),"",F97-E97+1)</f>
        <v/>
      </c>
      <c r="H97" s="8" t="n"/>
      <c r="I97" s="8" t="n"/>
      <c r="J97" s="8" t="n"/>
    </row>
    <row r="98" ht="28" customHeight="1">
      <c r="A98" s="8" t="n"/>
      <c r="B98" s="8" t="n"/>
      <c r="C98" s="8" t="n"/>
      <c r="D98" s="8" t="n"/>
      <c r="E98" s="8" t="n"/>
      <c r="F98" s="8" t="n"/>
      <c r="G98" s="9">
        <f>IF(OR(E98="",F98=""),"",F98-E98+1)</f>
        <v/>
      </c>
      <c r="H98" s="8" t="n"/>
      <c r="I98" s="8" t="n"/>
      <c r="J98" s="8" t="n"/>
    </row>
    <row r="99" ht="28" customHeight="1">
      <c r="A99" s="8" t="n"/>
      <c r="B99" s="8" t="n"/>
      <c r="C99" s="8" t="n"/>
      <c r="D99" s="8" t="n"/>
      <c r="E99" s="8" t="n"/>
      <c r="F99" s="8" t="n"/>
      <c r="G99" s="9">
        <f>IF(OR(E99="",F99=""),"",F99-E99+1)</f>
        <v/>
      </c>
      <c r="H99" s="8" t="n"/>
      <c r="I99" s="8" t="n"/>
      <c r="J99" s="8" t="n"/>
    </row>
    <row r="100" ht="28" customHeight="1">
      <c r="A100" s="8" t="n"/>
      <c r="B100" s="8" t="n"/>
      <c r="C100" s="8" t="n"/>
      <c r="D100" s="8" t="n"/>
      <c r="E100" s="8" t="n"/>
      <c r="F100" s="8" t="n"/>
      <c r="G100" s="9">
        <f>IF(OR(E100="",F100=""),"",F100-E100+1)</f>
        <v/>
      </c>
      <c r="H100" s="8" t="n"/>
      <c r="I100" s="8" t="n"/>
      <c r="J100" s="8" t="n"/>
    </row>
    <row r="101" ht="28" customHeight="1">
      <c r="A101" s="8" t="n"/>
      <c r="B101" s="8" t="n"/>
      <c r="C101" s="8" t="n"/>
      <c r="D101" s="8" t="n"/>
      <c r="E101" s="8" t="n"/>
      <c r="F101" s="8" t="n"/>
      <c r="G101" s="9">
        <f>IF(OR(E101="",F101=""),"",F101-E101+1)</f>
        <v/>
      </c>
      <c r="H101" s="8" t="n"/>
      <c r="I101" s="8" t="n"/>
      <c r="J101" s="8" t="n"/>
    </row>
    <row r="102" ht="28" customHeight="1">
      <c r="A102" s="8" t="n"/>
      <c r="B102" s="8" t="n"/>
      <c r="C102" s="8" t="n"/>
      <c r="D102" s="8" t="n"/>
      <c r="E102" s="8" t="n"/>
      <c r="F102" s="8" t="n"/>
      <c r="G102" s="9">
        <f>IF(OR(E102="",F102=""),"",F102-E102+1)</f>
        <v/>
      </c>
      <c r="H102" s="8" t="n"/>
      <c r="I102" s="8" t="n"/>
      <c r="J102" s="8" t="n"/>
    </row>
    <row r="103" ht="28" customHeight="1">
      <c r="A103" s="8" t="n"/>
      <c r="B103" s="8" t="n"/>
      <c r="C103" s="8" t="n"/>
      <c r="D103" s="8" t="n"/>
      <c r="E103" s="8" t="n"/>
      <c r="F103" s="8" t="n"/>
      <c r="G103" s="9">
        <f>IF(OR(E103="",F103=""),"",F103-E103+1)</f>
        <v/>
      </c>
      <c r="H103" s="8" t="n"/>
      <c r="I103" s="8" t="n"/>
      <c r="J103" s="8" t="n"/>
    </row>
    <row r="104" ht="28" customHeight="1">
      <c r="A104" s="8" t="n"/>
      <c r="B104" s="8" t="n"/>
      <c r="C104" s="8" t="n"/>
      <c r="D104" s="8" t="n"/>
      <c r="E104" s="8" t="n"/>
      <c r="F104" s="8" t="n"/>
      <c r="G104" s="9">
        <f>IF(OR(E104="",F104=""),"",F104-E104+1)</f>
        <v/>
      </c>
      <c r="H104" s="8" t="n"/>
      <c r="I104" s="8" t="n"/>
      <c r="J104" s="8" t="n"/>
    </row>
    <row r="105" ht="28" customHeight="1">
      <c r="A105" s="8" t="n"/>
      <c r="B105" s="8" t="n"/>
      <c r="C105" s="8" t="n"/>
      <c r="D105" s="8" t="n"/>
      <c r="E105" s="8" t="n"/>
      <c r="F105" s="8" t="n"/>
      <c r="G105" s="9">
        <f>IF(OR(E105="",F105=""),"",F105-E105+1)</f>
        <v/>
      </c>
      <c r="H105" s="8" t="n"/>
      <c r="I105" s="8" t="n"/>
      <c r="J105" s="8" t="n"/>
    </row>
    <row r="106" ht="28" customHeight="1">
      <c r="A106" s="8" t="n"/>
      <c r="B106" s="8" t="n"/>
      <c r="C106" s="8" t="n"/>
      <c r="D106" s="8" t="n"/>
      <c r="E106" s="8" t="n"/>
      <c r="F106" s="8" t="n"/>
      <c r="G106" s="9">
        <f>IF(OR(E106="",F106=""),"",F106-E106+1)</f>
        <v/>
      </c>
      <c r="H106" s="8" t="n"/>
      <c r="I106" s="8" t="n"/>
      <c r="J106" s="8" t="n"/>
    </row>
    <row r="107" ht="28" customHeight="1">
      <c r="A107" s="8" t="n"/>
      <c r="B107" s="8" t="n"/>
      <c r="C107" s="8" t="n"/>
      <c r="D107" s="8" t="n"/>
      <c r="E107" s="8" t="n"/>
      <c r="F107" s="8" t="n"/>
      <c r="G107" s="9">
        <f>IF(OR(E107="",F107=""),"",F107-E107+1)</f>
        <v/>
      </c>
      <c r="H107" s="8" t="n"/>
      <c r="I107" s="8" t="n"/>
      <c r="J107" s="8" t="n"/>
    </row>
    <row r="108" ht="28" customHeight="1">
      <c r="A108" s="8" t="n"/>
      <c r="B108" s="8" t="n"/>
      <c r="C108" s="8" t="n"/>
      <c r="D108" s="8" t="n"/>
      <c r="E108" s="8" t="n"/>
      <c r="F108" s="8" t="n"/>
      <c r="G108" s="9">
        <f>IF(OR(E108="",F108=""),"",F108-E108+1)</f>
        <v/>
      </c>
      <c r="H108" s="8" t="n"/>
      <c r="I108" s="8" t="n"/>
      <c r="J108" s="8" t="n"/>
    </row>
    <row r="109" ht="28" customHeight="1">
      <c r="A109" s="8" t="n"/>
      <c r="B109" s="8" t="n"/>
      <c r="C109" s="8" t="n"/>
      <c r="D109" s="8" t="n"/>
      <c r="E109" s="8" t="n"/>
      <c r="F109" s="8" t="n"/>
      <c r="G109" s="9">
        <f>IF(OR(E109="",F109=""),"",F109-E109+1)</f>
        <v/>
      </c>
      <c r="H109" s="8" t="n"/>
      <c r="I109" s="8" t="n"/>
      <c r="J109" s="8" t="n"/>
    </row>
    <row r="110" ht="28" customHeight="1">
      <c r="A110" s="8" t="n"/>
      <c r="B110" s="8" t="n"/>
      <c r="C110" s="8" t="n"/>
      <c r="D110" s="8" t="n"/>
      <c r="E110" s="8" t="n"/>
      <c r="F110" s="8" t="n"/>
      <c r="G110" s="9">
        <f>IF(OR(E110="",F110=""),"",F110-E110+1)</f>
        <v/>
      </c>
      <c r="H110" s="8" t="n"/>
      <c r="I110" s="8" t="n"/>
      <c r="J110" s="8" t="n"/>
    </row>
  </sheetData>
  <mergeCells count="3">
    <mergeCell ref="A9:J9"/>
    <mergeCell ref="A8:J8"/>
    <mergeCell ref="A2:J2"/>
  </mergeCells>
  <dataValidations count="4">
    <dataValidation sqref="E11:E110" showDropDown="0" showInputMessage="0" showErrorMessage="0" allowBlank="1" errorTitle="Invalid entry" error="Enter a whole number from 1 to 104." type="whole" operator="between">
      <formula1>1</formula1>
      <formula2>104</formula2>
    </dataValidation>
    <dataValidation sqref="F11:F110" showDropDown="0" showInputMessage="0" showErrorMessage="0" allowBlank="1" errorTitle="Invalid entry" error="Enter a whole number from 1 to 104." type="whole" operator="between">
      <formula1>1</formula1>
      <formula2>104</formula2>
    </dataValidation>
    <dataValidation sqref="H11:H110" showDropDown="0" showInputMessage="0" showErrorMessage="0" allowBlank="1" errorTitle="Invalid entry" error="Choose a value from the list." type="list">
      <formula1>"Not started,In progress,Done,Blocked,Not applicable"</formula1>
    </dataValidation>
    <dataValidation sqref="I11:I110" showDropDown="0" showInputMessage="0" showErrorMessage="0" allowBlank="1" errorTitle="Invalid entry" error="Enter a whole number from 1 to 104." type="whole" operator="between">
      <formula1>1</formula1>
      <formula2>104</formula2>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2026-10-25T21:28:11Z</dcterms:created>
  <dcterms:modified xmlns:dcterms="http://purl.org/dc/terms/" xmlns:xsi="http://www.w3.org/2001/XMLSchema-instance" xsi:type="dcterms:W3CDTF">2026-10-25T21:28:12Z</dcterms:modified>
</cp:coreProperties>
</file>