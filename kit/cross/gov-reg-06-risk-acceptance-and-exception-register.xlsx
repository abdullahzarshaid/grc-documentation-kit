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cceptance and exception 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164" fontId="3" fillId="5" borderId="0" applyAlignment="1" pivotButton="0" quotePrefix="0" xfId="0">
      <alignment vertical="center" wrapText="1"/>
    </xf>
    <xf numFmtId="1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06RiskAcceptanceAndExceptionRegisterTable" displayName="GovReg06RiskAcceptanceAndExceptionRegisterTable" ref="A10:P110" headerRowCount="1">
  <autoFilter ref="A10:P110"/>
  <tableColumns count="16">
    <tableColumn id="1" name="Reference"/>
    <tableColumn id="2" name="Type"/>
    <tableColumn id="3" name="Linked risk ID"/>
    <tableColumn id="4" name="Description"/>
    <tableColumn id="5" name="Requirement deviated from"/>
    <tableColumn id="6" name="Compensating controls"/>
    <tableColumn id="7" name="Band before"/>
    <tableColumn id="8" name="Band after"/>
    <tableColumn id="9" name="Requested by (role)"/>
    <tableColumn id="10" name="Approver (role)"/>
    <tableColumn id="11" name="Approval date"/>
    <tableColumn id="12" name="Duration (months)"/>
    <tableColumn id="13" name="Expiry date"/>
    <tableColumn id="14" name="Days to expiry"/>
    <tableColumn id="15" name="Status"/>
    <tableColumn id="16" name="Review outco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P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40" customWidth="1" min="4" max="4"/>
    <col width="26" customWidth="1" min="5" max="5"/>
    <col width="36" customWidth="1" min="6" max="6"/>
    <col width="12" customWidth="1" min="7" max="7"/>
    <col width="12" customWidth="1" min="8" max="8"/>
    <col width="20" customWidth="1" min="9" max="9"/>
    <col width="22" customWidth="1" min="10" max="10"/>
    <col width="13" customWidth="1" min="11" max="11"/>
    <col width="11" customWidth="1" min="12" max="12"/>
    <col width="13" customWidth="1" min="13" max="13"/>
    <col width="11" customWidth="1" min="14" max="14"/>
    <col width="13" customWidth="1" min="15" max="15"/>
    <col width="30" customWidth="1" min="16" max="16"/>
  </cols>
  <sheetData>
    <row r="2">
      <c r="A2" s="1" t="inlineStr">
        <is>
          <t>Risk acceptance and exception register</t>
        </is>
      </c>
    </row>
    <row r="3">
      <c r="A3" s="2" t="inlineStr">
        <is>
          <t>GOV-REG-06. 100 prepared rows. Keep completed copies in your organisation's approved storage; do not publish filled registers.</t>
        </is>
      </c>
    </row>
    <row r="4">
      <c r="A4" s="2" t="inlineStr">
        <is>
          <t>Serves: ISO/IEC 27001:2022 clause 6.1.3; ISO/IEC 27001:2022 clause 8.3; SOC 2 CC3.2; SOC 2 CC5.1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COUNTA(O11:O110)</f>
        <v/>
      </c>
      <c r="C6" s="5" t="n"/>
    </row>
    <row r="8" ht="44" customHeight="1">
      <c r="A8" s="6" t="inlineStr">
        <is>
          <t>Every approved deviation from a policy or control and every acceptance of a risk above appetite, recorded under GOV-PRO-24 with its approver, duration and expiry. The expiry and days-to-expiry columns calculate from the approval date and duration so that nothing runs past its limit unnoticed.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Reference</t>
        </is>
      </c>
      <c r="B10" s="7" t="inlineStr">
        <is>
          <t>Type</t>
        </is>
      </c>
      <c r="C10" s="7" t="inlineStr">
        <is>
          <t>Linked risk ID</t>
        </is>
      </c>
      <c r="D10" s="7" t="inlineStr">
        <is>
          <t>Description</t>
        </is>
      </c>
      <c r="E10" s="7" t="inlineStr">
        <is>
          <t>Requirement deviated from</t>
        </is>
      </c>
      <c r="F10" s="7" t="inlineStr">
        <is>
          <t>Compensating controls</t>
        </is>
      </c>
      <c r="G10" s="7" t="inlineStr">
        <is>
          <t>Band before</t>
        </is>
      </c>
      <c r="H10" s="7" t="inlineStr">
        <is>
          <t>Band after</t>
        </is>
      </c>
      <c r="I10" s="7" t="inlineStr">
        <is>
          <t>Requested by (role)</t>
        </is>
      </c>
      <c r="J10" s="7" t="inlineStr">
        <is>
          <t>Approver (role)</t>
        </is>
      </c>
      <c r="K10" s="7" t="inlineStr">
        <is>
          <t>Approval date</t>
        </is>
      </c>
      <c r="L10" s="7" t="inlineStr">
        <is>
          <t>Duration (months)</t>
        </is>
      </c>
      <c r="M10" s="7" t="inlineStr">
        <is>
          <t>Expiry date</t>
        </is>
      </c>
      <c r="N10" s="7" t="inlineStr">
        <is>
          <t>Days to expiry</t>
        </is>
      </c>
      <c r="O10" s="7" t="inlineStr">
        <is>
          <t>Status</t>
        </is>
      </c>
      <c r="P10" s="7" t="inlineStr">
        <is>
          <t>Review outcome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9">
        <f>IF(OR(K11="",L11=""),"",EDATE(K11,L11))</f>
        <v/>
      </c>
      <c r="N11" s="10">
        <f>IF(M11="","",M11-TODAY())</f>
        <v/>
      </c>
      <c r="O11" s="8" t="n"/>
      <c r="P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9">
        <f>IF(OR(K12="",L12=""),"",EDATE(K12,L12))</f>
        <v/>
      </c>
      <c r="N12" s="10">
        <f>IF(M12="","",M12-TODAY())</f>
        <v/>
      </c>
      <c r="O12" s="8" t="n"/>
      <c r="P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9">
        <f>IF(OR(K13="",L13=""),"",EDATE(K13,L13))</f>
        <v/>
      </c>
      <c r="N13" s="10">
        <f>IF(M13="","",M13-TODAY())</f>
        <v/>
      </c>
      <c r="O13" s="8" t="n"/>
      <c r="P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9">
        <f>IF(OR(K14="",L14=""),"",EDATE(K14,L14))</f>
        <v/>
      </c>
      <c r="N14" s="10">
        <f>IF(M14="","",M14-TODAY())</f>
        <v/>
      </c>
      <c r="O14" s="8" t="n"/>
      <c r="P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9">
        <f>IF(OR(K15="",L15=""),"",EDATE(K15,L15))</f>
        <v/>
      </c>
      <c r="N15" s="10">
        <f>IF(M15="","",M15-TODAY())</f>
        <v/>
      </c>
      <c r="O15" s="8" t="n"/>
      <c r="P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9">
        <f>IF(OR(K16="",L16=""),"",EDATE(K16,L16))</f>
        <v/>
      </c>
      <c r="N16" s="10">
        <f>IF(M16="","",M16-TODAY())</f>
        <v/>
      </c>
      <c r="O16" s="8" t="n"/>
      <c r="P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9">
        <f>IF(OR(K17="",L17=""),"",EDATE(K17,L17))</f>
        <v/>
      </c>
      <c r="N17" s="10">
        <f>IF(M17="","",M17-TODAY())</f>
        <v/>
      </c>
      <c r="O17" s="8" t="n"/>
      <c r="P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9">
        <f>IF(OR(K18="",L18=""),"",EDATE(K18,L18))</f>
        <v/>
      </c>
      <c r="N18" s="10">
        <f>IF(M18="","",M18-TODAY())</f>
        <v/>
      </c>
      <c r="O18" s="8" t="n"/>
      <c r="P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9">
        <f>IF(OR(K19="",L19=""),"",EDATE(K19,L19))</f>
        <v/>
      </c>
      <c r="N19" s="10">
        <f>IF(M19="","",M19-TODAY())</f>
        <v/>
      </c>
      <c r="O19" s="8" t="n"/>
      <c r="P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9">
        <f>IF(OR(K20="",L20=""),"",EDATE(K20,L20))</f>
        <v/>
      </c>
      <c r="N20" s="10">
        <f>IF(M20="","",M20-TODAY())</f>
        <v/>
      </c>
      <c r="O20" s="8" t="n"/>
      <c r="P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9">
        <f>IF(OR(K21="",L21=""),"",EDATE(K21,L21))</f>
        <v/>
      </c>
      <c r="N21" s="10">
        <f>IF(M21="","",M21-TODAY())</f>
        <v/>
      </c>
      <c r="O21" s="8" t="n"/>
      <c r="P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9">
        <f>IF(OR(K22="",L22=""),"",EDATE(K22,L22))</f>
        <v/>
      </c>
      <c r="N22" s="10">
        <f>IF(M22="","",M22-TODAY())</f>
        <v/>
      </c>
      <c r="O22" s="8" t="n"/>
      <c r="P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9">
        <f>IF(OR(K23="",L23=""),"",EDATE(K23,L23))</f>
        <v/>
      </c>
      <c r="N23" s="10">
        <f>IF(M23="","",M23-TODAY())</f>
        <v/>
      </c>
      <c r="O23" s="8" t="n"/>
      <c r="P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>
        <f>IF(OR(K24="",L24=""),"",EDATE(K24,L24))</f>
        <v/>
      </c>
      <c r="N24" s="10">
        <f>IF(M24="","",M24-TODAY())</f>
        <v/>
      </c>
      <c r="O24" s="8" t="n"/>
      <c r="P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>
        <f>IF(OR(K25="",L25=""),"",EDATE(K25,L25))</f>
        <v/>
      </c>
      <c r="N25" s="10">
        <f>IF(M25="","",M25-TODAY())</f>
        <v/>
      </c>
      <c r="O25" s="8" t="n"/>
      <c r="P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>
        <f>IF(OR(K26="",L26=""),"",EDATE(K26,L26))</f>
        <v/>
      </c>
      <c r="N26" s="10">
        <f>IF(M26="","",M26-TODAY())</f>
        <v/>
      </c>
      <c r="O26" s="8" t="n"/>
      <c r="P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>
        <f>IF(OR(K27="",L27=""),"",EDATE(K27,L27))</f>
        <v/>
      </c>
      <c r="N27" s="10">
        <f>IF(M27="","",M27-TODAY())</f>
        <v/>
      </c>
      <c r="O27" s="8" t="n"/>
      <c r="P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>
        <f>IF(OR(K28="",L28=""),"",EDATE(K28,L28))</f>
        <v/>
      </c>
      <c r="N28" s="10">
        <f>IF(M28="","",M28-TODAY())</f>
        <v/>
      </c>
      <c r="O28" s="8" t="n"/>
      <c r="P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>
        <f>IF(OR(K29="",L29=""),"",EDATE(K29,L29))</f>
        <v/>
      </c>
      <c r="N29" s="10">
        <f>IF(M29="","",M29-TODAY())</f>
        <v/>
      </c>
      <c r="O29" s="8" t="n"/>
      <c r="P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>
        <f>IF(OR(K30="",L30=""),"",EDATE(K30,L30))</f>
        <v/>
      </c>
      <c r="N30" s="10">
        <f>IF(M30="","",M30-TODAY())</f>
        <v/>
      </c>
      <c r="O30" s="8" t="n"/>
      <c r="P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>
        <f>IF(OR(K31="",L31=""),"",EDATE(K31,L31))</f>
        <v/>
      </c>
      <c r="N31" s="10">
        <f>IF(M31="","",M31-TODAY())</f>
        <v/>
      </c>
      <c r="O31" s="8" t="n"/>
      <c r="P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>
        <f>IF(OR(K32="",L32=""),"",EDATE(K32,L32))</f>
        <v/>
      </c>
      <c r="N32" s="10">
        <f>IF(M32="","",M32-TODAY())</f>
        <v/>
      </c>
      <c r="O32" s="8" t="n"/>
      <c r="P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9">
        <f>IF(OR(K33="",L33=""),"",EDATE(K33,L33))</f>
        <v/>
      </c>
      <c r="N33" s="10">
        <f>IF(M33="","",M33-TODAY())</f>
        <v/>
      </c>
      <c r="O33" s="8" t="n"/>
      <c r="P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9">
        <f>IF(OR(K34="",L34=""),"",EDATE(K34,L34))</f>
        <v/>
      </c>
      <c r="N34" s="10">
        <f>IF(M34="","",M34-TODAY())</f>
        <v/>
      </c>
      <c r="O34" s="8" t="n"/>
      <c r="P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>
        <f>IF(OR(K35="",L35=""),"",EDATE(K35,L35))</f>
        <v/>
      </c>
      <c r="N35" s="10">
        <f>IF(M35="","",M35-TODAY())</f>
        <v/>
      </c>
      <c r="O35" s="8" t="n"/>
      <c r="P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9">
        <f>IF(OR(K36="",L36=""),"",EDATE(K36,L36))</f>
        <v/>
      </c>
      <c r="N36" s="10">
        <f>IF(M36="","",M36-TODAY())</f>
        <v/>
      </c>
      <c r="O36" s="8" t="n"/>
      <c r="P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9">
        <f>IF(OR(K37="",L37=""),"",EDATE(K37,L37))</f>
        <v/>
      </c>
      <c r="N37" s="10">
        <f>IF(M37="","",M37-TODAY())</f>
        <v/>
      </c>
      <c r="O37" s="8" t="n"/>
      <c r="P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9">
        <f>IF(OR(K38="",L38=""),"",EDATE(K38,L38))</f>
        <v/>
      </c>
      <c r="N38" s="10">
        <f>IF(M38="","",M38-TODAY())</f>
        <v/>
      </c>
      <c r="O38" s="8" t="n"/>
      <c r="P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9">
        <f>IF(OR(K39="",L39=""),"",EDATE(K39,L39))</f>
        <v/>
      </c>
      <c r="N39" s="10">
        <f>IF(M39="","",M39-TODAY())</f>
        <v/>
      </c>
      <c r="O39" s="8" t="n"/>
      <c r="P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9">
        <f>IF(OR(K40="",L40=""),"",EDATE(K40,L40))</f>
        <v/>
      </c>
      <c r="N40" s="10">
        <f>IF(M40="","",M40-TODAY())</f>
        <v/>
      </c>
      <c r="O40" s="8" t="n"/>
      <c r="P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9">
        <f>IF(OR(K41="",L41=""),"",EDATE(K41,L41))</f>
        <v/>
      </c>
      <c r="N41" s="10">
        <f>IF(M41="","",M41-TODAY())</f>
        <v/>
      </c>
      <c r="O41" s="8" t="n"/>
      <c r="P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9">
        <f>IF(OR(K42="",L42=""),"",EDATE(K42,L42))</f>
        <v/>
      </c>
      <c r="N42" s="10">
        <f>IF(M42="","",M42-TODAY())</f>
        <v/>
      </c>
      <c r="O42" s="8" t="n"/>
      <c r="P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9">
        <f>IF(OR(K43="",L43=""),"",EDATE(K43,L43))</f>
        <v/>
      </c>
      <c r="N43" s="10">
        <f>IF(M43="","",M43-TODAY())</f>
        <v/>
      </c>
      <c r="O43" s="8" t="n"/>
      <c r="P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9">
        <f>IF(OR(K44="",L44=""),"",EDATE(K44,L44))</f>
        <v/>
      </c>
      <c r="N44" s="10">
        <f>IF(M44="","",M44-TODAY())</f>
        <v/>
      </c>
      <c r="O44" s="8" t="n"/>
      <c r="P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9">
        <f>IF(OR(K45="",L45=""),"",EDATE(K45,L45))</f>
        <v/>
      </c>
      <c r="N45" s="10">
        <f>IF(M45="","",M45-TODAY())</f>
        <v/>
      </c>
      <c r="O45" s="8" t="n"/>
      <c r="P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9">
        <f>IF(OR(K46="",L46=""),"",EDATE(K46,L46))</f>
        <v/>
      </c>
      <c r="N46" s="10">
        <f>IF(M46="","",M46-TODAY())</f>
        <v/>
      </c>
      <c r="O46" s="8" t="n"/>
      <c r="P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9">
        <f>IF(OR(K47="",L47=""),"",EDATE(K47,L47))</f>
        <v/>
      </c>
      <c r="N47" s="10">
        <f>IF(M47="","",M47-TODAY())</f>
        <v/>
      </c>
      <c r="O47" s="8" t="n"/>
      <c r="P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9">
        <f>IF(OR(K48="",L48=""),"",EDATE(K48,L48))</f>
        <v/>
      </c>
      <c r="N48" s="10">
        <f>IF(M48="","",M48-TODAY())</f>
        <v/>
      </c>
      <c r="O48" s="8" t="n"/>
      <c r="P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9">
        <f>IF(OR(K49="",L49=""),"",EDATE(K49,L49))</f>
        <v/>
      </c>
      <c r="N49" s="10">
        <f>IF(M49="","",M49-TODAY())</f>
        <v/>
      </c>
      <c r="O49" s="8" t="n"/>
      <c r="P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9">
        <f>IF(OR(K50="",L50=""),"",EDATE(K50,L50))</f>
        <v/>
      </c>
      <c r="N50" s="10">
        <f>IF(M50="","",M50-TODAY())</f>
        <v/>
      </c>
      <c r="O50" s="8" t="n"/>
      <c r="P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9">
        <f>IF(OR(K51="",L51=""),"",EDATE(K51,L51))</f>
        <v/>
      </c>
      <c r="N51" s="10">
        <f>IF(M51="","",M51-TODAY())</f>
        <v/>
      </c>
      <c r="O51" s="8" t="n"/>
      <c r="P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9">
        <f>IF(OR(K52="",L52=""),"",EDATE(K52,L52))</f>
        <v/>
      </c>
      <c r="N52" s="10">
        <f>IF(M52="","",M52-TODAY())</f>
        <v/>
      </c>
      <c r="O52" s="8" t="n"/>
      <c r="P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9">
        <f>IF(OR(K53="",L53=""),"",EDATE(K53,L53))</f>
        <v/>
      </c>
      <c r="N53" s="10">
        <f>IF(M53="","",M53-TODAY())</f>
        <v/>
      </c>
      <c r="O53" s="8" t="n"/>
      <c r="P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9">
        <f>IF(OR(K54="",L54=""),"",EDATE(K54,L54))</f>
        <v/>
      </c>
      <c r="N54" s="10">
        <f>IF(M54="","",M54-TODAY())</f>
        <v/>
      </c>
      <c r="O54" s="8" t="n"/>
      <c r="P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9">
        <f>IF(OR(K55="",L55=""),"",EDATE(K55,L55))</f>
        <v/>
      </c>
      <c r="N55" s="10">
        <f>IF(M55="","",M55-TODAY())</f>
        <v/>
      </c>
      <c r="O55" s="8" t="n"/>
      <c r="P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9">
        <f>IF(OR(K56="",L56=""),"",EDATE(K56,L56))</f>
        <v/>
      </c>
      <c r="N56" s="10">
        <f>IF(M56="","",M56-TODAY())</f>
        <v/>
      </c>
      <c r="O56" s="8" t="n"/>
      <c r="P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9">
        <f>IF(OR(K57="",L57=""),"",EDATE(K57,L57))</f>
        <v/>
      </c>
      <c r="N57" s="10">
        <f>IF(M57="","",M57-TODAY())</f>
        <v/>
      </c>
      <c r="O57" s="8" t="n"/>
      <c r="P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>
        <f>IF(OR(K58="",L58=""),"",EDATE(K58,L58))</f>
        <v/>
      </c>
      <c r="N58" s="10">
        <f>IF(M58="","",M58-TODAY())</f>
        <v/>
      </c>
      <c r="O58" s="8" t="n"/>
      <c r="P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9">
        <f>IF(OR(K59="",L59=""),"",EDATE(K59,L59))</f>
        <v/>
      </c>
      <c r="N59" s="10">
        <f>IF(M59="","",M59-TODAY())</f>
        <v/>
      </c>
      <c r="O59" s="8" t="n"/>
      <c r="P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9">
        <f>IF(OR(K60="",L60=""),"",EDATE(K60,L60))</f>
        <v/>
      </c>
      <c r="N60" s="10">
        <f>IF(M60="","",M60-TODAY())</f>
        <v/>
      </c>
      <c r="O60" s="8" t="n"/>
      <c r="P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9">
        <f>IF(OR(K61="",L61=""),"",EDATE(K61,L61))</f>
        <v/>
      </c>
      <c r="N61" s="10">
        <f>IF(M61="","",M61-TODAY())</f>
        <v/>
      </c>
      <c r="O61" s="8" t="n"/>
      <c r="P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9">
        <f>IF(OR(K62="",L62=""),"",EDATE(K62,L62))</f>
        <v/>
      </c>
      <c r="N62" s="10">
        <f>IF(M62="","",M62-TODAY())</f>
        <v/>
      </c>
      <c r="O62" s="8" t="n"/>
      <c r="P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9">
        <f>IF(OR(K63="",L63=""),"",EDATE(K63,L63))</f>
        <v/>
      </c>
      <c r="N63" s="10">
        <f>IF(M63="","",M63-TODAY())</f>
        <v/>
      </c>
      <c r="O63" s="8" t="n"/>
      <c r="P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9">
        <f>IF(OR(K64="",L64=""),"",EDATE(K64,L64))</f>
        <v/>
      </c>
      <c r="N64" s="10">
        <f>IF(M64="","",M64-TODAY())</f>
        <v/>
      </c>
      <c r="O64" s="8" t="n"/>
      <c r="P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9">
        <f>IF(OR(K65="",L65=""),"",EDATE(K65,L65))</f>
        <v/>
      </c>
      <c r="N65" s="10">
        <f>IF(M65="","",M65-TODAY())</f>
        <v/>
      </c>
      <c r="O65" s="8" t="n"/>
      <c r="P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9">
        <f>IF(OR(K66="",L66=""),"",EDATE(K66,L66))</f>
        <v/>
      </c>
      <c r="N66" s="10">
        <f>IF(M66="","",M66-TODAY())</f>
        <v/>
      </c>
      <c r="O66" s="8" t="n"/>
      <c r="P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9">
        <f>IF(OR(K67="",L67=""),"",EDATE(K67,L67))</f>
        <v/>
      </c>
      <c r="N67" s="10">
        <f>IF(M67="","",M67-TODAY())</f>
        <v/>
      </c>
      <c r="O67" s="8" t="n"/>
      <c r="P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9">
        <f>IF(OR(K68="",L68=""),"",EDATE(K68,L68))</f>
        <v/>
      </c>
      <c r="N68" s="10">
        <f>IF(M68="","",M68-TODAY())</f>
        <v/>
      </c>
      <c r="O68" s="8" t="n"/>
      <c r="P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9">
        <f>IF(OR(K69="",L69=""),"",EDATE(K69,L69))</f>
        <v/>
      </c>
      <c r="N69" s="10">
        <f>IF(M69="","",M69-TODAY())</f>
        <v/>
      </c>
      <c r="O69" s="8" t="n"/>
      <c r="P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9">
        <f>IF(OR(K70="",L70=""),"",EDATE(K70,L70))</f>
        <v/>
      </c>
      <c r="N70" s="10">
        <f>IF(M70="","",M70-TODAY())</f>
        <v/>
      </c>
      <c r="O70" s="8" t="n"/>
      <c r="P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9">
        <f>IF(OR(K71="",L71=""),"",EDATE(K71,L71))</f>
        <v/>
      </c>
      <c r="N71" s="10">
        <f>IF(M71="","",M71-TODAY())</f>
        <v/>
      </c>
      <c r="O71" s="8" t="n"/>
      <c r="P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9">
        <f>IF(OR(K72="",L72=""),"",EDATE(K72,L72))</f>
        <v/>
      </c>
      <c r="N72" s="10">
        <f>IF(M72="","",M72-TODAY())</f>
        <v/>
      </c>
      <c r="O72" s="8" t="n"/>
      <c r="P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9">
        <f>IF(OR(K73="",L73=""),"",EDATE(K73,L73))</f>
        <v/>
      </c>
      <c r="N73" s="10">
        <f>IF(M73="","",M73-TODAY())</f>
        <v/>
      </c>
      <c r="O73" s="8" t="n"/>
      <c r="P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9">
        <f>IF(OR(K74="",L74=""),"",EDATE(K74,L74))</f>
        <v/>
      </c>
      <c r="N74" s="10">
        <f>IF(M74="","",M74-TODAY())</f>
        <v/>
      </c>
      <c r="O74" s="8" t="n"/>
      <c r="P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9">
        <f>IF(OR(K75="",L75=""),"",EDATE(K75,L75))</f>
        <v/>
      </c>
      <c r="N75" s="10">
        <f>IF(M75="","",M75-TODAY())</f>
        <v/>
      </c>
      <c r="O75" s="8" t="n"/>
      <c r="P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9">
        <f>IF(OR(K76="",L76=""),"",EDATE(K76,L76))</f>
        <v/>
      </c>
      <c r="N76" s="10">
        <f>IF(M76="","",M76-TODAY())</f>
        <v/>
      </c>
      <c r="O76" s="8" t="n"/>
      <c r="P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9">
        <f>IF(OR(K77="",L77=""),"",EDATE(K77,L77))</f>
        <v/>
      </c>
      <c r="N77" s="10">
        <f>IF(M77="","",M77-TODAY())</f>
        <v/>
      </c>
      <c r="O77" s="8" t="n"/>
      <c r="P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9">
        <f>IF(OR(K78="",L78=""),"",EDATE(K78,L78))</f>
        <v/>
      </c>
      <c r="N78" s="10">
        <f>IF(M78="","",M78-TODAY())</f>
        <v/>
      </c>
      <c r="O78" s="8" t="n"/>
      <c r="P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9">
        <f>IF(OR(K79="",L79=""),"",EDATE(K79,L79))</f>
        <v/>
      </c>
      <c r="N79" s="10">
        <f>IF(M79="","",M79-TODAY())</f>
        <v/>
      </c>
      <c r="O79" s="8" t="n"/>
      <c r="P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9">
        <f>IF(OR(K80="",L80=""),"",EDATE(K80,L80))</f>
        <v/>
      </c>
      <c r="N80" s="10">
        <f>IF(M80="","",M80-TODAY())</f>
        <v/>
      </c>
      <c r="O80" s="8" t="n"/>
      <c r="P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9">
        <f>IF(OR(K81="",L81=""),"",EDATE(K81,L81))</f>
        <v/>
      </c>
      <c r="N81" s="10">
        <f>IF(M81="","",M81-TODAY())</f>
        <v/>
      </c>
      <c r="O81" s="8" t="n"/>
      <c r="P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9">
        <f>IF(OR(K82="",L82=""),"",EDATE(K82,L82))</f>
        <v/>
      </c>
      <c r="N82" s="10">
        <f>IF(M82="","",M82-TODAY())</f>
        <v/>
      </c>
      <c r="O82" s="8" t="n"/>
      <c r="P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9">
        <f>IF(OR(K83="",L83=""),"",EDATE(K83,L83))</f>
        <v/>
      </c>
      <c r="N83" s="10">
        <f>IF(M83="","",M83-TODAY())</f>
        <v/>
      </c>
      <c r="O83" s="8" t="n"/>
      <c r="P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9">
        <f>IF(OR(K84="",L84=""),"",EDATE(K84,L84))</f>
        <v/>
      </c>
      <c r="N84" s="10">
        <f>IF(M84="","",M84-TODAY())</f>
        <v/>
      </c>
      <c r="O84" s="8" t="n"/>
      <c r="P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9">
        <f>IF(OR(K85="",L85=""),"",EDATE(K85,L85))</f>
        <v/>
      </c>
      <c r="N85" s="10">
        <f>IF(M85="","",M85-TODAY())</f>
        <v/>
      </c>
      <c r="O85" s="8" t="n"/>
      <c r="P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9">
        <f>IF(OR(K86="",L86=""),"",EDATE(K86,L86))</f>
        <v/>
      </c>
      <c r="N86" s="10">
        <f>IF(M86="","",M86-TODAY())</f>
        <v/>
      </c>
      <c r="O86" s="8" t="n"/>
      <c r="P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9">
        <f>IF(OR(K87="",L87=""),"",EDATE(K87,L87))</f>
        <v/>
      </c>
      <c r="N87" s="10">
        <f>IF(M87="","",M87-TODAY())</f>
        <v/>
      </c>
      <c r="O87" s="8" t="n"/>
      <c r="P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9">
        <f>IF(OR(K88="",L88=""),"",EDATE(K88,L88))</f>
        <v/>
      </c>
      <c r="N88" s="10">
        <f>IF(M88="","",M88-TODAY())</f>
        <v/>
      </c>
      <c r="O88" s="8" t="n"/>
      <c r="P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9">
        <f>IF(OR(K89="",L89=""),"",EDATE(K89,L89))</f>
        <v/>
      </c>
      <c r="N89" s="10">
        <f>IF(M89="","",M89-TODAY())</f>
        <v/>
      </c>
      <c r="O89" s="8" t="n"/>
      <c r="P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9">
        <f>IF(OR(K90="",L90=""),"",EDATE(K90,L90))</f>
        <v/>
      </c>
      <c r="N90" s="10">
        <f>IF(M90="","",M90-TODAY())</f>
        <v/>
      </c>
      <c r="O90" s="8" t="n"/>
      <c r="P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9">
        <f>IF(OR(K91="",L91=""),"",EDATE(K91,L91))</f>
        <v/>
      </c>
      <c r="N91" s="10">
        <f>IF(M91="","",M91-TODAY())</f>
        <v/>
      </c>
      <c r="O91" s="8" t="n"/>
      <c r="P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9">
        <f>IF(OR(K92="",L92=""),"",EDATE(K92,L92))</f>
        <v/>
      </c>
      <c r="N92" s="10">
        <f>IF(M92="","",M92-TODAY())</f>
        <v/>
      </c>
      <c r="O92" s="8" t="n"/>
      <c r="P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9">
        <f>IF(OR(K93="",L93=""),"",EDATE(K93,L93))</f>
        <v/>
      </c>
      <c r="N93" s="10">
        <f>IF(M93="","",M93-TODAY())</f>
        <v/>
      </c>
      <c r="O93" s="8" t="n"/>
      <c r="P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9">
        <f>IF(OR(K94="",L94=""),"",EDATE(K94,L94))</f>
        <v/>
      </c>
      <c r="N94" s="10">
        <f>IF(M94="","",M94-TODAY())</f>
        <v/>
      </c>
      <c r="O94" s="8" t="n"/>
      <c r="P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9">
        <f>IF(OR(K95="",L95=""),"",EDATE(K95,L95))</f>
        <v/>
      </c>
      <c r="N95" s="10">
        <f>IF(M95="","",M95-TODAY())</f>
        <v/>
      </c>
      <c r="O95" s="8" t="n"/>
      <c r="P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9">
        <f>IF(OR(K96="",L96=""),"",EDATE(K96,L96))</f>
        <v/>
      </c>
      <c r="N96" s="10">
        <f>IF(M96="","",M96-TODAY())</f>
        <v/>
      </c>
      <c r="O96" s="8" t="n"/>
      <c r="P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>
        <f>IF(OR(K97="",L97=""),"",EDATE(K97,L97))</f>
        <v/>
      </c>
      <c r="N97" s="10">
        <f>IF(M97="","",M97-TODAY())</f>
        <v/>
      </c>
      <c r="O97" s="8" t="n"/>
      <c r="P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9">
        <f>IF(OR(K98="",L98=""),"",EDATE(K98,L98))</f>
        <v/>
      </c>
      <c r="N98" s="10">
        <f>IF(M98="","",M98-TODAY())</f>
        <v/>
      </c>
      <c r="O98" s="8" t="n"/>
      <c r="P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9">
        <f>IF(OR(K99="",L99=""),"",EDATE(K99,L99))</f>
        <v/>
      </c>
      <c r="N99" s="10">
        <f>IF(M99="","",M99-TODAY())</f>
        <v/>
      </c>
      <c r="O99" s="8" t="n"/>
      <c r="P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9">
        <f>IF(OR(K100="",L100=""),"",EDATE(K100,L100))</f>
        <v/>
      </c>
      <c r="N100" s="10">
        <f>IF(M100="","",M100-TODAY())</f>
        <v/>
      </c>
      <c r="O100" s="8" t="n"/>
      <c r="P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9">
        <f>IF(OR(K101="",L101=""),"",EDATE(K101,L101))</f>
        <v/>
      </c>
      <c r="N101" s="10">
        <f>IF(M101="","",M101-TODAY())</f>
        <v/>
      </c>
      <c r="O101" s="8" t="n"/>
      <c r="P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9">
        <f>IF(OR(K102="",L102=""),"",EDATE(K102,L102))</f>
        <v/>
      </c>
      <c r="N102" s="10">
        <f>IF(M102="","",M102-TODAY())</f>
        <v/>
      </c>
      <c r="O102" s="8" t="n"/>
      <c r="P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9">
        <f>IF(OR(K103="",L103=""),"",EDATE(K103,L103))</f>
        <v/>
      </c>
      <c r="N103" s="10">
        <f>IF(M103="","",M103-TODAY())</f>
        <v/>
      </c>
      <c r="O103" s="8" t="n"/>
      <c r="P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9">
        <f>IF(OR(K104="",L104=""),"",EDATE(K104,L104))</f>
        <v/>
      </c>
      <c r="N104" s="10">
        <f>IF(M104="","",M104-TODAY())</f>
        <v/>
      </c>
      <c r="O104" s="8" t="n"/>
      <c r="P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9">
        <f>IF(OR(K105="",L105=""),"",EDATE(K105,L105))</f>
        <v/>
      </c>
      <c r="N105" s="10">
        <f>IF(M105="","",M105-TODAY())</f>
        <v/>
      </c>
      <c r="O105" s="8" t="n"/>
      <c r="P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9">
        <f>IF(OR(K106="",L106=""),"",EDATE(K106,L106))</f>
        <v/>
      </c>
      <c r="N106" s="10">
        <f>IF(M106="","",M106-TODAY())</f>
        <v/>
      </c>
      <c r="O106" s="8" t="n"/>
      <c r="P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9">
        <f>IF(OR(K107="",L107=""),"",EDATE(K107,L107))</f>
        <v/>
      </c>
      <c r="N107" s="10">
        <f>IF(M107="","",M107-TODAY())</f>
        <v/>
      </c>
      <c r="O107" s="8" t="n"/>
      <c r="P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9">
        <f>IF(OR(K108="",L108=""),"",EDATE(K108,L108))</f>
        <v/>
      </c>
      <c r="N108" s="10">
        <f>IF(M108="","",M108-TODAY())</f>
        <v/>
      </c>
      <c r="O108" s="8" t="n"/>
      <c r="P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9">
        <f>IF(OR(K109="",L109=""),"",EDATE(K109,L109))</f>
        <v/>
      </c>
      <c r="N109" s="10">
        <f>IF(M109="","",M109-TODAY())</f>
        <v/>
      </c>
      <c r="O109" s="8" t="n"/>
      <c r="P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9">
        <f>IF(OR(K110="",L110=""),"",EDATE(K110,L110))</f>
        <v/>
      </c>
      <c r="N110" s="10">
        <f>IF(M110="","",M110-TODAY())</f>
        <v/>
      </c>
      <c r="O110" s="8" t="n"/>
      <c r="P110" s="8" t="n"/>
    </row>
  </sheetData>
  <mergeCells count="3">
    <mergeCell ref="A9:P9"/>
    <mergeCell ref="A8:P8"/>
    <mergeCell ref="A2:P2"/>
  </mergeCells>
  <dataValidations count="6">
    <dataValidation sqref="B11:B110" showDropDown="0" showInputMessage="0" showErrorMessage="0" allowBlank="1" errorTitle="Invalid entry" error="Choose a value from the list." type="list">
      <formula1>"Exception,Risk acceptance"</formula1>
    </dataValidation>
    <dataValidation sqref="G11:G110" showDropDown="0" showInputMessage="0" showErrorMessage="0" allowBlank="1" errorTitle="Invalid entry" error="Choose a value from the list." type="list">
      <formula1>"Low,Medium,High,Critical"</formula1>
    </dataValidation>
    <dataValidation sqref="H11:H110" showDropDown="0" showInputMessage="0" showErrorMessage="0" allowBlank="1" errorTitle="Invalid entry" error="Choose a value from the list." type="list">
      <formula1>"Low,Medium,High,Critical"</formula1>
    </dataValidation>
    <dataValidation sqref="K11:K110" showDropDown="0" showInputMessage="0" showErrorMessage="0" allowBlank="1" errorTitle="Invalid entry" error="Enter a date." type="date" operator="greaterThan">
      <formula1>1</formula1>
    </dataValidation>
    <dataValidation sqref="L11:L110" showDropDown="0" showInputMessage="0" showErrorMessage="0" allowBlank="1" errorTitle="Invalid entry" error="Enter a whole number from 1 to 12." type="whole" operator="between">
      <formula1>1</formula1>
      <formula2>12</formula2>
    </dataValidation>
    <dataValidation sqref="O11:O110" showDropDown="0" showInputMessage="0" showErrorMessage="0" allowBlank="1" errorTitle="Invalid entry" error="Choose a value from the list." type="list">
      <formula1>"Requested,Approved,Active,Expired,Closed,Refused"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2026-10-25T21:01:32Z</dcterms:created>
  <dcterms:modified xmlns:dcterms="http://purl.org/dc/terms/" xmlns:xsi="http://www.w3.org/2001/XMLSchema-instance" xsi:type="dcterms:W3CDTF">2026-10-25T21:01:33Z</dcterms:modified>
</cp:coreProperties>
</file>