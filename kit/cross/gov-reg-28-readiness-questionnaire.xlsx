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ess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  <fill>
      <patternFill patternType="solid">
        <fgColor rgb="FFF4F6F8"/>
      </patternFill>
    </fill>
    <fill>
      <patternFill patternType="solid">
        <fgColor rgb="FFEA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9" fontId="3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ovReg28ReadinessQuestionnaireTable" displayName="GovReg28ReadinessQuestionnaireTable" ref="A10:L110" headerRowCount="1">
  <autoFilter ref="A10:L110"/>
  <tableColumns count="12">
    <tableColumn id="1" name="Domain"/>
    <tableColumn id="2" name="Question"/>
    <tableColumn id="3" name="Why it matters"/>
    <tableColumn id="4" name="Answer type"/>
    <tableColumn id="5" name="Answer"/>
    <tableColumn id="6" name="Evidence reference"/>
    <tableColumn id="7" name="Owner (role)"/>
    <tableColumn id="8" name="Maturity"/>
    <tableColumn id="9" name="Status"/>
    <tableColumn id="10" name="Due"/>
    <tableColumn id="11" name="Reviewer notes"/>
    <tableColumn id="12" name="Sco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L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0" customWidth="1" min="2" max="2"/>
    <col width="46" customWidth="1" min="3" max="3"/>
    <col width="12" customWidth="1" min="4" max="4"/>
    <col width="36" customWidth="1" min="5" max="5"/>
    <col width="22" customWidth="1" min="6" max="6"/>
    <col width="20" customWidth="1" min="7" max="7"/>
    <col width="10" customWidth="1" min="8" max="8"/>
    <col width="16" customWidth="1" min="9" max="9"/>
    <col width="12" customWidth="1" min="10" max="10"/>
    <col width="30" customWidth="1" min="11" max="11"/>
    <col width="8" customWidth="1" min="12" max="12"/>
  </cols>
  <sheetData>
    <row r="2">
      <c r="A2" s="1" t="inlineStr">
        <is>
          <t>Readiness questionnaire</t>
        </is>
      </c>
    </row>
    <row r="3">
      <c r="A3" s="2" t="inlineStr">
        <is>
          <t>GOV-REG-28. 60 prepared rows plus 40 blank rows. Keep completed copies in your organisation's approved storage; do not publish filled registers.</t>
        </is>
      </c>
    </row>
    <row r="4">
      <c r="A4" s="2" t="inlineStr">
        <is>
          <t>Serves: ISO/IEC 27001:2022 clause 4.1; ISO/IEC 27001:2022 clause 9.1; SOC 2 CC4.1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COUNTA(I11:I110)</f>
        <v/>
      </c>
      <c r="C6" s="5" t="n"/>
    </row>
    <row r="8" ht="44" customHeight="1">
      <c r="A8" s="6" t="inlineStr">
        <is>
          <t>Sixty questions in ten domains that measure how much of a security and privacy programme exists and how much of it can be proved, each scored 0 to 3 by an independent reviewer. Run as PB-08 describes, with one dated copy per assessment so that the trend is visible.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Domain</t>
        </is>
      </c>
      <c r="B10" s="7" t="inlineStr">
        <is>
          <t>Question</t>
        </is>
      </c>
      <c r="C10" s="7" t="inlineStr">
        <is>
          <t>Why it matters</t>
        </is>
      </c>
      <c r="D10" s="7" t="inlineStr">
        <is>
          <t>Answer type</t>
        </is>
      </c>
      <c r="E10" s="7" t="inlineStr">
        <is>
          <t>Answer</t>
        </is>
      </c>
      <c r="F10" s="7" t="inlineStr">
        <is>
          <t>Evidence reference</t>
        </is>
      </c>
      <c r="G10" s="7" t="inlineStr">
        <is>
          <t>Owner (role)</t>
        </is>
      </c>
      <c r="H10" s="7" t="inlineStr">
        <is>
          <t>Maturity</t>
        </is>
      </c>
      <c r="I10" s="7" t="inlineStr">
        <is>
          <t>Status</t>
        </is>
      </c>
      <c r="J10" s="7" t="inlineStr">
        <is>
          <t>Due</t>
        </is>
      </c>
      <c r="K10" s="7" t="inlineStr">
        <is>
          <t>Reviewer notes</t>
        </is>
      </c>
      <c r="L10" s="7" t="inlineStr">
        <is>
          <t>Score</t>
        </is>
      </c>
    </row>
    <row r="11" ht="28" customHeight="1">
      <c r="A11" s="8" t="inlineStr">
        <is>
          <t>Governance</t>
        </is>
      </c>
      <c r="B11" s="8" t="inlineStr">
        <is>
          <t>Has top management approved an information security policy and communicated it to all staff?</t>
        </is>
      </c>
      <c r="C11" s="8" t="inlineStr">
        <is>
          <t>The policy is the mandate for every control; without visible leadership approval controls are optional in practice.</t>
        </is>
      </c>
      <c r="D11" s="9" t="inlineStr">
        <is>
          <t>Policy</t>
        </is>
      </c>
      <c r="E11" s="9" t="n"/>
      <c r="F11" s="9" t="n"/>
      <c r="G11" s="9" t="n"/>
      <c r="H11" s="9" t="n"/>
      <c r="I11" s="9" t="n"/>
      <c r="J11" s="9" t="n"/>
      <c r="K11" s="9" t="n"/>
      <c r="L11" s="10">
        <f>IF(OR(H11="",I11="Not applicable"),"",H11/3)</f>
        <v/>
      </c>
    </row>
    <row r="12" ht="28" customHeight="1">
      <c r="A12" s="8" t="inlineStr">
        <is>
          <t>Governance</t>
        </is>
      </c>
      <c r="B12" s="8" t="inlineStr">
        <is>
          <t>Is there a named role accountable for information security and a named role for privacy, each with written responsibilities?</t>
        </is>
      </c>
      <c r="C12" s="8" t="inlineStr">
        <is>
          <t>Clear accountability is the first thing an auditor tests and the first thing missing when incidents are mishandled.</t>
        </is>
      </c>
      <c r="D12" s="9" t="inlineStr">
        <is>
          <t>Policy</t>
        </is>
      </c>
      <c r="E12" s="9" t="n"/>
      <c r="F12" s="9" t="n"/>
      <c r="G12" s="9" t="n"/>
      <c r="H12" s="9" t="n"/>
      <c r="I12" s="9" t="n"/>
      <c r="J12" s="9" t="n"/>
      <c r="K12" s="9" t="n"/>
      <c r="L12" s="10">
        <f>IF(OR(H12="",I12="Not applicable"),"",H12/3)</f>
        <v/>
      </c>
    </row>
    <row r="13" ht="28" customHeight="1">
      <c r="A13" s="8" t="inlineStr">
        <is>
          <t>Governance</t>
        </is>
      </c>
      <c r="B13" s="8" t="inlineStr">
        <is>
          <t>Does a steering group or management forum review security and privacy performance at a set frequency, with minutes?</t>
        </is>
      </c>
      <c r="C13" s="8" t="inlineStr">
        <is>
          <t>Regular review turns the programme from a project into a system, and the minutes prove it happens.</t>
        </is>
      </c>
      <c r="D13" s="9" t="inlineStr">
        <is>
          <t>Proof</t>
        </is>
      </c>
      <c r="E13" s="9" t="n"/>
      <c r="F13" s="9" t="n"/>
      <c r="G13" s="9" t="n"/>
      <c r="H13" s="9" t="n"/>
      <c r="I13" s="9" t="n"/>
      <c r="J13" s="9" t="n"/>
      <c r="K13" s="9" t="n"/>
      <c r="L13" s="10">
        <f>IF(OR(H13="",I13="Not applicable"),"",H13/3)</f>
        <v/>
      </c>
    </row>
    <row r="14" ht="28" customHeight="1">
      <c r="A14" s="8" t="inlineStr">
        <is>
          <t>Governance</t>
        </is>
      </c>
      <c r="B14" s="8" t="inlineStr">
        <is>
          <t>Are measurable security objectives set, tracked and reported to management?</t>
        </is>
      </c>
      <c r="C14" s="8" t="inlineStr">
        <is>
          <t>Objectives make performance visible and give management something to steer.</t>
        </is>
      </c>
      <c r="D14" s="9" t="inlineStr">
        <is>
          <t>Register</t>
        </is>
      </c>
      <c r="E14" s="9" t="n"/>
      <c r="F14" s="9" t="n"/>
      <c r="G14" s="9" t="n"/>
      <c r="H14" s="9" t="n"/>
      <c r="I14" s="9" t="n"/>
      <c r="J14" s="9" t="n"/>
      <c r="K14" s="9" t="n"/>
      <c r="L14" s="10">
        <f>IF(OR(H14="",I14="Not applicable"),"",H14/3)</f>
        <v/>
      </c>
    </row>
    <row r="15" ht="28" customHeight="1">
      <c r="A15" s="8" t="inlineStr">
        <is>
          <t>Governance</t>
        </is>
      </c>
      <c r="B15" s="8" t="inlineStr">
        <is>
          <t>Has a management review covering all the required inputs been held in the last twelve months?</t>
        </is>
      </c>
      <c r="C15" s="8" t="inlineStr">
        <is>
          <t>Management review is a mandatory record and the point where resources and improvements are decided.</t>
        </is>
      </c>
      <c r="D15" s="9" t="inlineStr">
        <is>
          <t>Proof</t>
        </is>
      </c>
      <c r="E15" s="9" t="n"/>
      <c r="F15" s="9" t="n"/>
      <c r="G15" s="9" t="n"/>
      <c r="H15" s="9" t="n"/>
      <c r="I15" s="9" t="n"/>
      <c r="J15" s="9" t="n"/>
      <c r="K15" s="9" t="n"/>
      <c r="L15" s="10">
        <f>IF(OR(H15="",I15="Not applicable"),"",H15/3)</f>
        <v/>
      </c>
    </row>
    <row r="16" ht="28" customHeight="1">
      <c r="A16" s="8" t="inlineStr">
        <is>
          <t>Governance</t>
        </is>
      </c>
      <c r="B16" s="8" t="inlineStr">
        <is>
          <t>Is there a controlled list of the policies, procedures and registers in use, with owners, versions and review dates?</t>
        </is>
      </c>
      <c r="C16" s="8" t="inlineStr">
        <is>
          <t>Document control proves that staff work from current versions and lets auditors trace changes.</t>
        </is>
      </c>
      <c r="D16" s="9" t="inlineStr">
        <is>
          <t>Register</t>
        </is>
      </c>
      <c r="E16" s="9" t="n"/>
      <c r="F16" s="9" t="n"/>
      <c r="G16" s="9" t="n"/>
      <c r="H16" s="9" t="n"/>
      <c r="I16" s="9" t="n"/>
      <c r="J16" s="9" t="n"/>
      <c r="K16" s="9" t="n"/>
      <c r="L16" s="10">
        <f>IF(OR(H16="",I16="Not applicable"),"",H16/3)</f>
        <v/>
      </c>
    </row>
    <row r="17" ht="28" customHeight="1">
      <c r="A17" s="8" t="inlineStr">
        <is>
          <t>Scope and context</t>
        </is>
      </c>
      <c r="B17" s="8" t="inlineStr">
        <is>
          <t>Is the scope of the management system written down, naming locations, services, systems and exclusions with reasons?</t>
        </is>
      </c>
      <c r="C17" s="8" t="inlineStr">
        <is>
          <t>Scope decides what the certificate or attestation covers and what the auditor will test.</t>
        </is>
      </c>
      <c r="D17" s="9" t="inlineStr">
        <is>
          <t>Policy</t>
        </is>
      </c>
      <c r="E17" s="9" t="n"/>
      <c r="F17" s="9" t="n"/>
      <c r="G17" s="9" t="n"/>
      <c r="H17" s="9" t="n"/>
      <c r="I17" s="9" t="n"/>
      <c r="J17" s="9" t="n"/>
      <c r="K17" s="9" t="n"/>
      <c r="L17" s="10">
        <f>IF(OR(H17="",I17="Not applicable"),"",H17/3)</f>
        <v/>
      </c>
    </row>
    <row r="18" ht="28" customHeight="1">
      <c r="A18" s="8" t="inlineStr">
        <is>
          <t>Scope and context</t>
        </is>
      </c>
      <c r="B18" s="8" t="inlineStr">
        <is>
          <t>Have the internal and external issues that affect security and privacy been analysed and recorded?</t>
        </is>
      </c>
      <c r="C18" s="8" t="inlineStr">
        <is>
          <t>Context analysis explains why controls were chosen and shows the system fits the organisation.</t>
        </is>
      </c>
      <c r="D18" s="9" t="inlineStr">
        <is>
          <t>Register</t>
        </is>
      </c>
      <c r="E18" s="9" t="n"/>
      <c r="F18" s="9" t="n"/>
      <c r="G18" s="9" t="n"/>
      <c r="H18" s="9" t="n"/>
      <c r="I18" s="9" t="n"/>
      <c r="J18" s="9" t="n"/>
      <c r="K18" s="9" t="n"/>
      <c r="L18" s="10">
        <f>IF(OR(H18="",I18="Not applicable"),"",H18/3)</f>
        <v/>
      </c>
    </row>
    <row r="19" ht="28" customHeight="1">
      <c r="A19" s="8" t="inlineStr">
        <is>
          <t>Scope and context</t>
        </is>
      </c>
      <c r="B19" s="8" t="inlineStr">
        <is>
          <t>Are interested parties and their security and privacy requirements identified and kept current?</t>
        </is>
      </c>
      <c r="C19" s="8" t="inlineStr">
        <is>
          <t>Clients, regulators and staff impose requirements the control set must meet.</t>
        </is>
      </c>
      <c r="D19" s="9" t="inlineStr">
        <is>
          <t>Register</t>
        </is>
      </c>
      <c r="E19" s="9" t="n"/>
      <c r="F19" s="9" t="n"/>
      <c r="G19" s="9" t="n"/>
      <c r="H19" s="9" t="n"/>
      <c r="I19" s="9" t="n"/>
      <c r="J19" s="9" t="n"/>
      <c r="K19" s="9" t="n"/>
      <c r="L19" s="10">
        <f>IF(OR(H19="",I19="Not applicable"),"",H19/3)</f>
        <v/>
      </c>
    </row>
    <row r="20" ht="28" customHeight="1">
      <c r="A20" s="8" t="inlineStr">
        <is>
          <t>Scope and context</t>
        </is>
      </c>
      <c r="B20" s="8" t="inlineStr">
        <is>
          <t>Are legal, regulatory and contractual obligations recorded with an owner and mapped to controls?</t>
        </is>
      </c>
      <c r="C20" s="8" t="inlineStr">
        <is>
          <t>Unknown obligations are the commonest source of compliance failures and contract breaches.</t>
        </is>
      </c>
      <c r="D20" s="9" t="inlineStr">
        <is>
          <t>Register</t>
        </is>
      </c>
      <c r="E20" s="9" t="n"/>
      <c r="F20" s="9" t="n"/>
      <c r="G20" s="9" t="n"/>
      <c r="H20" s="9" t="n"/>
      <c r="I20" s="9" t="n"/>
      <c r="J20" s="9" t="n"/>
      <c r="K20" s="9" t="n"/>
      <c r="L20" s="10">
        <f>IF(OR(H20="",I20="Not applicable"),"",H20/3)</f>
        <v/>
      </c>
    </row>
    <row r="21" ht="28" customHeight="1">
      <c r="A21" s="8" t="inlineStr">
        <is>
          <t>Scope and context</t>
        </is>
      </c>
      <c r="B21" s="8" t="inlineStr">
        <is>
          <t>Are the boundaries between the organisation and its cloud and service providers documented as shared responsibilities?</t>
        </is>
      </c>
      <c r="C21" s="8" t="inlineStr">
        <is>
          <t>Controls that each side assumes the other operates are the gap attackers find.</t>
        </is>
      </c>
      <c r="D21" s="9" t="inlineStr">
        <is>
          <t>Proof</t>
        </is>
      </c>
      <c r="E21" s="9" t="n"/>
      <c r="F21" s="9" t="n"/>
      <c r="G21" s="9" t="n"/>
      <c r="H21" s="9" t="n"/>
      <c r="I21" s="9" t="n"/>
      <c r="J21" s="9" t="n"/>
      <c r="K21" s="9" t="n"/>
      <c r="L21" s="10">
        <f>IF(OR(H21="",I21="Not applicable"),"",H21/3)</f>
        <v/>
      </c>
    </row>
    <row r="22" ht="28" customHeight="1">
      <c r="A22" s="8" t="inlineStr">
        <is>
          <t>Scope and context</t>
        </is>
      </c>
      <c r="B22" s="8" t="inlineStr">
        <is>
          <t>Is scope reviewed when services, systems, suppliers or locations change?</t>
        </is>
      </c>
      <c r="C22" s="8" t="inlineStr">
        <is>
          <t>Scope drift leaves new systems outside the controls that protect the old ones.</t>
        </is>
      </c>
      <c r="D22" s="9" t="inlineStr">
        <is>
          <t>Policy</t>
        </is>
      </c>
      <c r="E22" s="9" t="n"/>
      <c r="F22" s="9" t="n"/>
      <c r="G22" s="9" t="n"/>
      <c r="H22" s="9" t="n"/>
      <c r="I22" s="9" t="n"/>
      <c r="J22" s="9" t="n"/>
      <c r="K22" s="9" t="n"/>
      <c r="L22" s="10">
        <f>IF(OR(H22="",I22="Not applicable"),"",H22/3)</f>
        <v/>
      </c>
    </row>
    <row r="23" ht="28" customHeight="1">
      <c r="A23" s="8" t="inlineStr">
        <is>
          <t>Risk</t>
        </is>
      </c>
      <c r="B23" s="8" t="inlineStr">
        <is>
          <t>Is there an approved risk assessment methodology with defined likelihood and impact scales and acceptance criteria?</t>
        </is>
      </c>
      <c r="C23" s="8" t="inlineStr">
        <is>
          <t>A consistent method makes risk ratings comparable and acceptance decisions defensible.</t>
        </is>
      </c>
      <c r="D23" s="9" t="inlineStr">
        <is>
          <t>Policy</t>
        </is>
      </c>
      <c r="E23" s="9" t="n"/>
      <c r="F23" s="9" t="n"/>
      <c r="G23" s="9" t="n"/>
      <c r="H23" s="9" t="n"/>
      <c r="I23" s="9" t="n"/>
      <c r="J23" s="9" t="n"/>
      <c r="K23" s="9" t="n"/>
      <c r="L23" s="10">
        <f>IF(OR(H23="",I23="Not applicable"),"",H23/3)</f>
        <v/>
      </c>
    </row>
    <row r="24" ht="28" customHeight="1">
      <c r="A24" s="8" t="inlineStr">
        <is>
          <t>Risk</t>
        </is>
      </c>
      <c r="B24" s="8" t="inlineStr">
        <is>
          <t>Has a risk assessment covering the whole scope been completed within the last twelve months?</t>
        </is>
      </c>
      <c r="C24" s="8" t="inlineStr">
        <is>
          <t>Risk assessment drives which controls are applied; a stale one means controls address last year's threats.</t>
        </is>
      </c>
      <c r="D24" s="9" t="inlineStr">
        <is>
          <t>Register</t>
        </is>
      </c>
      <c r="E24" s="9" t="n"/>
      <c r="F24" s="9" t="n"/>
      <c r="G24" s="9" t="n"/>
      <c r="H24" s="9" t="n"/>
      <c r="I24" s="9" t="n"/>
      <c r="J24" s="9" t="n"/>
      <c r="K24" s="9" t="n"/>
      <c r="L24" s="10">
        <f>IF(OR(H24="",I24="Not applicable"),"",H24/3)</f>
        <v/>
      </c>
    </row>
    <row r="25" ht="28" customHeight="1">
      <c r="A25" s="8" t="inlineStr">
        <is>
          <t>Risk</t>
        </is>
      </c>
      <c r="B25" s="8" t="inlineStr">
        <is>
          <t>Does every risk above the acceptance threshold have a treatment plan with an owner and a date?</t>
        </is>
      </c>
      <c r="C25" s="8" t="inlineStr">
        <is>
          <t>Untreated high risks are the finding auditors grade most severely.</t>
        </is>
      </c>
      <c r="D25" s="9" t="inlineStr">
        <is>
          <t>Register</t>
        </is>
      </c>
      <c r="E25" s="9" t="n"/>
      <c r="F25" s="9" t="n"/>
      <c r="G25" s="9" t="n"/>
      <c r="H25" s="9" t="n"/>
      <c r="I25" s="9" t="n"/>
      <c r="J25" s="9" t="n"/>
      <c r="K25" s="9" t="n"/>
      <c r="L25" s="10">
        <f>IF(OR(H25="",I25="Not applicable"),"",H25/3)</f>
        <v/>
      </c>
    </row>
    <row r="26" ht="28" customHeight="1">
      <c r="A26" s="8" t="inlineStr">
        <is>
          <t>Risk</t>
        </is>
      </c>
      <c r="B26" s="8" t="inlineStr">
        <is>
          <t>Is there a Statement of Applicability or control matrix linking controls to risks and showing implementation status?</t>
        </is>
      </c>
      <c r="C26" s="8" t="inlineStr">
        <is>
          <t>It is the bridge between risk and controls and a mandatory record for certification.</t>
        </is>
      </c>
      <c r="D26" s="9" t="inlineStr">
        <is>
          <t>Register</t>
        </is>
      </c>
      <c r="E26" s="9" t="n"/>
      <c r="F26" s="9" t="n"/>
      <c r="G26" s="9" t="n"/>
      <c r="H26" s="9" t="n"/>
      <c r="I26" s="9" t="n"/>
      <c r="J26" s="9" t="n"/>
      <c r="K26" s="9" t="n"/>
      <c r="L26" s="10">
        <f>IF(OR(H26="",I26="Not applicable"),"",H26/3)</f>
        <v/>
      </c>
    </row>
    <row r="27" ht="28" customHeight="1">
      <c r="A27" s="8" t="inlineStr">
        <is>
          <t>Risk</t>
        </is>
      </c>
      <c r="B27" s="8" t="inlineStr">
        <is>
          <t>Are risk acceptances and exceptions approved at the right level, time-limited and reviewed at expiry?</t>
        </is>
      </c>
      <c r="C27" s="8" t="inlineStr">
        <is>
          <t>Open-ended exceptions become permanent gaps that nobody owns.</t>
        </is>
      </c>
      <c r="D27" s="9" t="inlineStr">
        <is>
          <t>Register</t>
        </is>
      </c>
      <c r="E27" s="9" t="n"/>
      <c r="F27" s="9" t="n"/>
      <c r="G27" s="9" t="n"/>
      <c r="H27" s="9" t="n"/>
      <c r="I27" s="9" t="n"/>
      <c r="J27" s="9" t="n"/>
      <c r="K27" s="9" t="n"/>
      <c r="L27" s="10">
        <f>IF(OR(H27="",I27="Not applicable"),"",H27/3)</f>
        <v/>
      </c>
    </row>
    <row r="28" ht="28" customHeight="1">
      <c r="A28" s="8" t="inlineStr">
        <is>
          <t>Risk</t>
        </is>
      </c>
      <c r="B28" s="8" t="inlineStr">
        <is>
          <t>Is the risk assessment repeated when a significant change occurs, such as a new system, supplier or incident?</t>
        </is>
      </c>
      <c r="C28" s="8" t="inlineStr">
        <is>
          <t>Event-driven reassessment keeps the register true between annual cycles.</t>
        </is>
      </c>
      <c r="D28" s="9" t="inlineStr">
        <is>
          <t>Policy</t>
        </is>
      </c>
      <c r="E28" s="9" t="n"/>
      <c r="F28" s="9" t="n"/>
      <c r="G28" s="9" t="n"/>
      <c r="H28" s="9" t="n"/>
      <c r="I28" s="9" t="n"/>
      <c r="J28" s="9" t="n"/>
      <c r="K28" s="9" t="n"/>
      <c r="L28" s="10">
        <f>IF(OR(H28="",I28="Not applicable"),"",H28/3)</f>
        <v/>
      </c>
    </row>
    <row r="29" ht="28" customHeight="1">
      <c r="A29" s="8" t="inlineStr">
        <is>
          <t>Policies and documents</t>
        </is>
      </c>
      <c r="B29" s="8" t="inlineStr">
        <is>
          <t>Does the set of topic policies cover access, acceptable use, authentication, classification, remote working, suppliers and incidents?</t>
        </is>
      </c>
      <c r="C29" s="8" t="inlineStr">
        <is>
          <t>Topic policies translate the top-level commitment into rules staff can follow.</t>
        </is>
      </c>
      <c r="D29" s="9" t="inlineStr">
        <is>
          <t>Policy</t>
        </is>
      </c>
      <c r="E29" s="9" t="n"/>
      <c r="F29" s="9" t="n"/>
      <c r="G29" s="9" t="n"/>
      <c r="H29" s="9" t="n"/>
      <c r="I29" s="9" t="n"/>
      <c r="J29" s="9" t="n"/>
      <c r="K29" s="9" t="n"/>
      <c r="L29" s="10">
        <f>IF(OR(H29="",I29="Not applicable"),"",H29/3)</f>
        <v/>
      </c>
    </row>
    <row r="30" ht="28" customHeight="1">
      <c r="A30" s="8" t="inlineStr">
        <is>
          <t>Policies and documents</t>
        </is>
      </c>
      <c r="B30" s="8" t="inlineStr">
        <is>
          <t>Are procedures written for the operational processes the policies require, with numbered steps and named actors?</t>
        </is>
      </c>
      <c r="C30" s="8" t="inlineStr">
        <is>
          <t>A policy without a procedure is an intention; auditors test whether the procedure is followed.</t>
        </is>
      </c>
      <c r="D30" s="9" t="inlineStr">
        <is>
          <t>Policy</t>
        </is>
      </c>
      <c r="E30" s="9" t="n"/>
      <c r="F30" s="9" t="n"/>
      <c r="G30" s="9" t="n"/>
      <c r="H30" s="9" t="n"/>
      <c r="I30" s="9" t="n"/>
      <c r="J30" s="9" t="n"/>
      <c r="K30" s="9" t="n"/>
      <c r="L30" s="10">
        <f>IF(OR(H30="",I30="Not applicable"),"",H30/3)</f>
        <v/>
      </c>
    </row>
    <row r="31" ht="28" customHeight="1">
      <c r="A31" s="8" t="inlineStr">
        <is>
          <t>Policies and documents</t>
        </is>
      </c>
      <c r="B31" s="8" t="inlineStr">
        <is>
          <t>Have all documents been reviewed within their stated review period, with the outcome recorded?</t>
        </is>
      </c>
      <c r="C31" s="8" t="inlineStr">
        <is>
          <t>Overdue reviews signal a system nobody maintains.</t>
        </is>
      </c>
      <c r="D31" s="9" t="inlineStr">
        <is>
          <t>Register</t>
        </is>
      </c>
      <c r="E31" s="9" t="n"/>
      <c r="F31" s="9" t="n"/>
      <c r="G31" s="9" t="n"/>
      <c r="H31" s="9" t="n"/>
      <c r="I31" s="9" t="n"/>
      <c r="J31" s="9" t="n"/>
      <c r="K31" s="9" t="n"/>
      <c r="L31" s="10">
        <f>IF(OR(H31="",I31="Not applicable"),"",H31/3)</f>
        <v/>
      </c>
    </row>
    <row r="32" ht="28" customHeight="1">
      <c r="A32" s="8" t="inlineStr">
        <is>
          <t>Policies and documents</t>
        </is>
      </c>
      <c r="B32" s="8" t="inlineStr">
        <is>
          <t>Have staff acknowledged the policies that apply to them, with a dated record naming the version?</t>
        </is>
      </c>
      <c r="C32" s="8" t="inlineStr">
        <is>
          <t>Acknowledgement makes rules enforceable and proves they were communicated.</t>
        </is>
      </c>
      <c r="D32" s="9" t="inlineStr">
        <is>
          <t>Register</t>
        </is>
      </c>
      <c r="E32" s="9" t="n"/>
      <c r="F32" s="9" t="n"/>
      <c r="G32" s="9" t="n"/>
      <c r="H32" s="9" t="n"/>
      <c r="I32" s="9" t="n"/>
      <c r="J32" s="9" t="n"/>
      <c r="K32" s="9" t="n"/>
      <c r="L32" s="10">
        <f>IF(OR(H32="",I32="Not applicable"),"",H32/3)</f>
        <v/>
      </c>
    </row>
    <row r="33" ht="28" customHeight="1">
      <c r="A33" s="8" t="inlineStr">
        <is>
          <t>Policies and documents</t>
        </is>
      </c>
      <c r="B33" s="8" t="inlineStr">
        <is>
          <t>Are records retained for the period the retention schedule states and protected against alteration?</t>
        </is>
      </c>
      <c r="C33" s="8" t="inlineStr">
        <is>
          <t>Records are the evidence; lost or editable records cannot prove anything.</t>
        </is>
      </c>
      <c r="D33" s="9" t="inlineStr">
        <is>
          <t>Policy</t>
        </is>
      </c>
      <c r="E33" s="9" t="n"/>
      <c r="F33" s="9" t="n"/>
      <c r="G33" s="9" t="n"/>
      <c r="H33" s="9" t="n"/>
      <c r="I33" s="9" t="n"/>
      <c r="J33" s="9" t="n"/>
      <c r="K33" s="9" t="n"/>
      <c r="L33" s="10">
        <f>IF(OR(H33="",I33="Not applicable"),"",H33/3)</f>
        <v/>
      </c>
    </row>
    <row r="34" ht="28" customHeight="1">
      <c r="A34" s="8" t="inlineStr">
        <is>
          <t>Policies and documents</t>
        </is>
      </c>
      <c r="B34" s="8" t="inlineStr">
        <is>
          <t>Are withdrawn documents removed from use and archived with a withdrawn marking?</t>
        </is>
      </c>
      <c r="C34" s="8" t="inlineStr">
        <is>
          <t>Staff following a superseded procedure is a nonconformity even when they act in good faith.</t>
        </is>
      </c>
      <c r="D34" s="9" t="inlineStr">
        <is>
          <t>Proof</t>
        </is>
      </c>
      <c r="E34" s="9" t="n"/>
      <c r="F34" s="9" t="n"/>
      <c r="G34" s="9" t="n"/>
      <c r="H34" s="9" t="n"/>
      <c r="I34" s="9" t="n"/>
      <c r="J34" s="9" t="n"/>
      <c r="K34" s="9" t="n"/>
      <c r="L34" s="10">
        <f>IF(OR(H34="",I34="Not applicable"),"",H34/3)</f>
        <v/>
      </c>
    </row>
    <row r="35" ht="28" customHeight="1">
      <c r="A35" s="8" t="inlineStr">
        <is>
          <t>People</t>
        </is>
      </c>
      <c r="B35" s="8" t="inlineStr">
        <is>
          <t>Are background checks performed before employment, proportional to the role and permitted by law?</t>
        </is>
      </c>
      <c r="C35" s="8" t="inlineStr">
        <is>
          <t>Screening is the control that stops the wrong person getting trusted access.</t>
        </is>
      </c>
      <c r="D35" s="9" t="inlineStr">
        <is>
          <t>Policy</t>
        </is>
      </c>
      <c r="E35" s="9" t="n"/>
      <c r="F35" s="9" t="n"/>
      <c r="G35" s="9" t="n"/>
      <c r="H35" s="9" t="n"/>
      <c r="I35" s="9" t="n"/>
      <c r="J35" s="9" t="n"/>
      <c r="K35" s="9" t="n"/>
      <c r="L35" s="10">
        <f>IF(OR(H35="",I35="Not applicable"),"",H35/3)</f>
        <v/>
      </c>
    </row>
    <row r="36" ht="28" customHeight="1">
      <c r="A36" s="8" t="inlineStr">
        <is>
          <t>People</t>
        </is>
      </c>
      <c r="B36" s="8" t="inlineStr">
        <is>
          <t>Do employment contracts and contractor agreements contain confidentiality and security obligations?</t>
        </is>
      </c>
      <c r="C36" s="8" t="inlineStr">
        <is>
          <t>Obligations that are not contractual cannot be enforced after someone leaves.</t>
        </is>
      </c>
      <c r="D36" s="9" t="inlineStr">
        <is>
          <t>Proof</t>
        </is>
      </c>
      <c r="E36" s="9" t="n"/>
      <c r="F36" s="9" t="n"/>
      <c r="G36" s="9" t="n"/>
      <c r="H36" s="9" t="n"/>
      <c r="I36" s="9" t="n"/>
      <c r="J36" s="9" t="n"/>
      <c r="K36" s="9" t="n"/>
      <c r="L36" s="10">
        <f>IF(OR(H36="",I36="Not applicable"),"",H36/3)</f>
        <v/>
      </c>
    </row>
    <row r="37" ht="28" customHeight="1">
      <c r="A37" s="8" t="inlineStr">
        <is>
          <t>People</t>
        </is>
      </c>
      <c r="B37" s="8" t="inlineStr">
        <is>
          <t>Do new starters complete security and privacy induction within the set number of days of joining?</t>
        </is>
      </c>
      <c r="C37" s="8" t="inlineStr">
        <is>
          <t>People are most likely to make mistakes before they know the rules.</t>
        </is>
      </c>
      <c r="D37" s="9" t="inlineStr">
        <is>
          <t>Register</t>
        </is>
      </c>
      <c r="E37" s="9" t="n"/>
      <c r="F37" s="9" t="n"/>
      <c r="G37" s="9" t="n"/>
      <c r="H37" s="9" t="n"/>
      <c r="I37" s="9" t="n"/>
      <c r="J37" s="9" t="n"/>
      <c r="K37" s="9" t="n"/>
      <c r="L37" s="10">
        <f>IF(OR(H37="",I37="Not applicable"),"",H37/3)</f>
        <v/>
      </c>
    </row>
    <row r="38" ht="28" customHeight="1">
      <c r="A38" s="8" t="inlineStr">
        <is>
          <t>People</t>
        </is>
      </c>
      <c r="B38" s="8" t="inlineStr">
        <is>
          <t>Do all staff complete refresher training at least annually, with completion recorded?</t>
        </is>
      </c>
      <c r="C38" s="8" t="inlineStr">
        <is>
          <t>Annual training is expected by every framework and is a frequent sample request.</t>
        </is>
      </c>
      <c r="D38" s="9" t="inlineStr">
        <is>
          <t>Register</t>
        </is>
      </c>
      <c r="E38" s="9" t="n"/>
      <c r="F38" s="9" t="n"/>
      <c r="G38" s="9" t="n"/>
      <c r="H38" s="9" t="n"/>
      <c r="I38" s="9" t="n"/>
      <c r="J38" s="9" t="n"/>
      <c r="K38" s="9" t="n"/>
      <c r="L38" s="10">
        <f>IF(OR(H38="",I38="Not applicable"),"",H38/3)</f>
        <v/>
      </c>
    </row>
    <row r="39" ht="28" customHeight="1">
      <c r="A39" s="8" t="inlineStr">
        <is>
          <t>People</t>
        </is>
      </c>
      <c r="B39" s="8" t="inlineStr">
        <is>
          <t>Do roles with elevated responsibility, such as developers, administrators and privacy handlers, receive role-based training?</t>
        </is>
      </c>
      <c r="C39" s="8" t="inlineStr">
        <is>
          <t>Generic awareness does not teach a developer secure coding or an administrator safe privilege use.</t>
        </is>
      </c>
      <c r="D39" s="9" t="inlineStr">
        <is>
          <t>Register</t>
        </is>
      </c>
      <c r="E39" s="9" t="n"/>
      <c r="F39" s="9" t="n"/>
      <c r="G39" s="9" t="n"/>
      <c r="H39" s="9" t="n"/>
      <c r="I39" s="9" t="n"/>
      <c r="J39" s="9" t="n"/>
      <c r="K39" s="9" t="n"/>
      <c r="L39" s="10">
        <f>IF(OR(H39="",I39="Not applicable"),"",H39/3)</f>
        <v/>
      </c>
    </row>
    <row r="40" ht="28" customHeight="1">
      <c r="A40" s="8" t="inlineStr">
        <is>
          <t>People</t>
        </is>
      </c>
      <c r="B40" s="8" t="inlineStr">
        <is>
          <t>Is there a disciplinary process for security violations and a leaver process that recovers assets and access?</t>
        </is>
      </c>
      <c r="C40" s="8" t="inlineStr">
        <is>
          <t>Consequences and clean exits are tested together as the end of the people lifecycle.</t>
        </is>
      </c>
      <c r="D40" s="9" t="inlineStr">
        <is>
          <t>Policy</t>
        </is>
      </c>
      <c r="E40" s="9" t="n"/>
      <c r="F40" s="9" t="n"/>
      <c r="G40" s="9" t="n"/>
      <c r="H40" s="9" t="n"/>
      <c r="I40" s="9" t="n"/>
      <c r="J40" s="9" t="n"/>
      <c r="K40" s="9" t="n"/>
      <c r="L40" s="10">
        <f>IF(OR(H40="",I40="Not applicable"),"",H40/3)</f>
        <v/>
      </c>
    </row>
    <row r="41" ht="28" customHeight="1">
      <c r="A41" s="8" t="inlineStr">
        <is>
          <t>Access</t>
        </is>
      </c>
      <c r="B41" s="8" t="inlineStr">
        <is>
          <t>Is every access grant based on a documented request and approval, applying least privilege?</t>
        </is>
      </c>
      <c r="C41" s="8" t="inlineStr">
        <is>
          <t>Access without an approval trail cannot be shown to be authorised.</t>
        </is>
      </c>
      <c r="D41" s="9" t="inlineStr">
        <is>
          <t>Proof</t>
        </is>
      </c>
      <c r="E41" s="9" t="n"/>
      <c r="F41" s="9" t="n"/>
      <c r="G41" s="9" t="n"/>
      <c r="H41" s="9" t="n"/>
      <c r="I41" s="9" t="n"/>
      <c r="J41" s="9" t="n"/>
      <c r="K41" s="9" t="n"/>
      <c r="L41" s="10">
        <f>IF(OR(H41="",I41="Not applicable"),"",H41/3)</f>
        <v/>
      </c>
    </row>
    <row r="42" ht="28" customHeight="1">
      <c r="A42" s="8" t="inlineStr">
        <is>
          <t>Access</t>
        </is>
      </c>
      <c r="B42" s="8" t="inlineStr">
        <is>
          <t>Is access removed within one working day when a person leaves or changes role?</t>
        </is>
      </c>
      <c r="C42" s="8" t="inlineStr">
        <is>
          <t>Orphaned accounts are the most common way former staff and attackers regain entry.</t>
        </is>
      </c>
      <c r="D42" s="9" t="inlineStr">
        <is>
          <t>Proof</t>
        </is>
      </c>
      <c r="E42" s="9" t="n"/>
      <c r="F42" s="9" t="n"/>
      <c r="G42" s="9" t="n"/>
      <c r="H42" s="9" t="n"/>
      <c r="I42" s="9" t="n"/>
      <c r="J42" s="9" t="n"/>
      <c r="K42" s="9" t="n"/>
      <c r="L42" s="10">
        <f>IF(OR(H42="",I42="Not applicable"),"",H42/3)</f>
        <v/>
      </c>
    </row>
    <row r="43" ht="28" customHeight="1">
      <c r="A43" s="8" t="inlineStr">
        <is>
          <t>Access</t>
        </is>
      </c>
      <c r="B43" s="8" t="inlineStr">
        <is>
          <t>Is multi-factor authentication enforced for all remote access, all administrative access and all cloud consoles?</t>
        </is>
      </c>
      <c r="C43" s="8" t="inlineStr">
        <is>
          <t>Passwords alone no longer stop account takeover.</t>
        </is>
      </c>
      <c r="D43" s="9" t="inlineStr">
        <is>
          <t>Proof</t>
        </is>
      </c>
      <c r="E43" s="9" t="n"/>
      <c r="F43" s="9" t="n"/>
      <c r="G43" s="9" t="n"/>
      <c r="H43" s="9" t="n"/>
      <c r="I43" s="9" t="n"/>
      <c r="J43" s="9" t="n"/>
      <c r="K43" s="9" t="n"/>
      <c r="L43" s="10">
        <f>IF(OR(H43="",I43="Not applicable"),"",H43/3)</f>
        <v/>
      </c>
    </row>
    <row r="44" ht="28" customHeight="1">
      <c r="A44" s="8" t="inlineStr">
        <is>
          <t>Access</t>
        </is>
      </c>
      <c r="B44" s="8" t="inlineStr">
        <is>
          <t>Are privileged accounts separate from everyday accounts, inventoried and individually assigned?</t>
        </is>
      </c>
      <c r="C44" s="8" t="inlineStr">
        <is>
          <t>Shared or everyday-use administrator accounts remove accountability and widen the damage from one compromise.</t>
        </is>
      </c>
      <c r="D44" s="9" t="inlineStr">
        <is>
          <t>Register</t>
        </is>
      </c>
      <c r="E44" s="9" t="n"/>
      <c r="F44" s="9" t="n"/>
      <c r="G44" s="9" t="n"/>
      <c r="H44" s="9" t="n"/>
      <c r="I44" s="9" t="n"/>
      <c r="J44" s="9" t="n"/>
      <c r="K44" s="9" t="n"/>
      <c r="L44" s="10">
        <f>IF(OR(H44="",I44="Not applicable"),"",H44/3)</f>
        <v/>
      </c>
    </row>
    <row r="45" ht="28" customHeight="1">
      <c r="A45" s="8" t="inlineStr">
        <is>
          <t>Access</t>
        </is>
      </c>
      <c r="B45" s="8" t="inlineStr">
        <is>
          <t>Are access rights reviewed at least quarterly for critical systems, with removals recorded?</t>
        </is>
      </c>
      <c r="C45" s="8" t="inlineStr">
        <is>
          <t>Reviews catch the accumulation that joiners, movers and projects create.</t>
        </is>
      </c>
      <c r="D45" s="9" t="inlineStr">
        <is>
          <t>Register</t>
        </is>
      </c>
      <c r="E45" s="9" t="n"/>
      <c r="F45" s="9" t="n"/>
      <c r="G45" s="9" t="n"/>
      <c r="H45" s="9" t="n"/>
      <c r="I45" s="9" t="n"/>
      <c r="J45" s="9" t="n"/>
      <c r="K45" s="9" t="n"/>
      <c r="L45" s="10">
        <f>IF(OR(H45="",I45="Not applicable"),"",H45/3)</f>
        <v/>
      </c>
    </row>
    <row r="46" ht="28" customHeight="1">
      <c r="A46" s="8" t="inlineStr">
        <is>
          <t>Access</t>
        </is>
      </c>
      <c r="B46" s="8" t="inlineStr">
        <is>
          <t>Are service accounts, keys and tokens inventoried, owned, rotated and kept out of code and chat?</t>
        </is>
      </c>
      <c r="C46" s="8" t="inlineStr">
        <is>
          <t>Non-human credentials are rarely reviewed and often over-privileged.</t>
        </is>
      </c>
      <c r="D46" s="9" t="inlineStr">
        <is>
          <t>Register</t>
        </is>
      </c>
      <c r="E46" s="9" t="n"/>
      <c r="F46" s="9" t="n"/>
      <c r="G46" s="9" t="n"/>
      <c r="H46" s="9" t="n"/>
      <c r="I46" s="9" t="n"/>
      <c r="J46" s="9" t="n"/>
      <c r="K46" s="9" t="n"/>
      <c r="L46" s="10">
        <f>IF(OR(H46="",I46="Not applicable"),"",H46/3)</f>
        <v/>
      </c>
    </row>
    <row r="47" ht="28" customHeight="1">
      <c r="A47" s="8" t="inlineStr">
        <is>
          <t>Assets and data</t>
        </is>
      </c>
      <c r="B47" s="8" t="inlineStr">
        <is>
          <t>Is there an information asset inventory with an owner for every asset?</t>
        </is>
      </c>
      <c r="C47" s="8" t="inlineStr">
        <is>
          <t>You cannot protect, classify or recover what you have not listed.</t>
        </is>
      </c>
      <c r="D47" s="9" t="inlineStr">
        <is>
          <t>Register</t>
        </is>
      </c>
      <c r="E47" s="9" t="n"/>
      <c r="F47" s="9" t="n"/>
      <c r="G47" s="9" t="n"/>
      <c r="H47" s="9" t="n"/>
      <c r="I47" s="9" t="n"/>
      <c r="J47" s="9" t="n"/>
      <c r="K47" s="9" t="n"/>
      <c r="L47" s="10">
        <f>IF(OR(H47="",I47="Not applicable"),"",H47/3)</f>
        <v/>
      </c>
    </row>
    <row r="48" ht="28" customHeight="1">
      <c r="A48" s="8" t="inlineStr">
        <is>
          <t>Assets and data</t>
        </is>
      </c>
      <c r="B48" s="8" t="inlineStr">
        <is>
          <t>Is a classification scheme defined and applied, with handling rules for each level?</t>
        </is>
      </c>
      <c r="C48" s="8" t="inlineStr">
        <is>
          <t>Classification tells staff how carefully to treat each piece of information.</t>
        </is>
      </c>
      <c r="D48" s="9" t="inlineStr">
        <is>
          <t>Policy</t>
        </is>
      </c>
      <c r="E48" s="9" t="n"/>
      <c r="F48" s="9" t="n"/>
      <c r="G48" s="9" t="n"/>
      <c r="H48" s="9" t="n"/>
      <c r="I48" s="9" t="n"/>
      <c r="J48" s="9" t="n"/>
      <c r="K48" s="9" t="n"/>
      <c r="L48" s="10">
        <f>IF(OR(H48="",I48="Not applicable"),"",H48/3)</f>
        <v/>
      </c>
    </row>
    <row r="49" ht="28" customHeight="1">
      <c r="A49" s="8" t="inlineStr">
        <is>
          <t>Assets and data</t>
        </is>
      </c>
      <c r="B49" s="8" t="inlineStr">
        <is>
          <t>Is there an inventory of personal data processing activities with purposes, lawful bases and recipients?</t>
        </is>
      </c>
      <c r="C49" s="8" t="inlineStr">
        <is>
          <t>It is required by law for most organisations and is the starting point for every privacy control.</t>
        </is>
      </c>
      <c r="D49" s="9" t="inlineStr">
        <is>
          <t>Register</t>
        </is>
      </c>
      <c r="E49" s="9" t="n"/>
      <c r="F49" s="9" t="n"/>
      <c r="G49" s="9" t="n"/>
      <c r="H49" s="9" t="n"/>
      <c r="I49" s="9" t="n"/>
      <c r="J49" s="9" t="n"/>
      <c r="K49" s="9" t="n"/>
      <c r="L49" s="10">
        <f>IF(OR(H49="",I49="Not applicable"),"",H49/3)</f>
        <v/>
      </c>
    </row>
    <row r="50" ht="28" customHeight="1">
      <c r="A50" s="8" t="inlineStr">
        <is>
          <t>Assets and data</t>
        </is>
      </c>
      <c r="B50" s="8" t="inlineStr">
        <is>
          <t>Are data flows to external parties mapped, including transfers outside the region and their safeguards?</t>
        </is>
      </c>
      <c r="C50" s="8" t="inlineStr">
        <is>
          <t>Unmapped flows are where data leaves without a contract or a safeguard.</t>
        </is>
      </c>
      <c r="D50" s="9" t="inlineStr">
        <is>
          <t>Register</t>
        </is>
      </c>
      <c r="E50" s="9" t="n"/>
      <c r="F50" s="9" t="n"/>
      <c r="G50" s="9" t="n"/>
      <c r="H50" s="9" t="n"/>
      <c r="I50" s="9" t="n"/>
      <c r="J50" s="9" t="n"/>
      <c r="K50" s="9" t="n"/>
      <c r="L50" s="10">
        <f>IF(OR(H50="",I50="Not applicable"),"",H50/3)</f>
        <v/>
      </c>
    </row>
    <row r="51" ht="28" customHeight="1">
      <c r="A51" s="8" t="inlineStr">
        <is>
          <t>Assets and data</t>
        </is>
      </c>
      <c r="B51" s="8" t="inlineStr">
        <is>
          <t>Is a retention schedule defined, and is deletion configured and checked in systems and backups?</t>
        </is>
      </c>
      <c r="C51" s="8" t="inlineStr">
        <is>
          <t>Keeping data longer than needed increases breach impact and breaches the law.</t>
        </is>
      </c>
      <c r="D51" s="9" t="inlineStr">
        <is>
          <t>Proof</t>
        </is>
      </c>
      <c r="E51" s="9" t="n"/>
      <c r="F51" s="9" t="n"/>
      <c r="G51" s="9" t="n"/>
      <c r="H51" s="9" t="n"/>
      <c r="I51" s="9" t="n"/>
      <c r="J51" s="9" t="n"/>
      <c r="K51" s="9" t="n"/>
      <c r="L51" s="10">
        <f>IF(OR(H51="",I51="Not applicable"),"",H51/3)</f>
        <v/>
      </c>
    </row>
    <row r="52" ht="28" customHeight="1">
      <c r="A52" s="8" t="inlineStr">
        <is>
          <t>Assets and data</t>
        </is>
      </c>
      <c r="B52" s="8" t="inlineStr">
        <is>
          <t>Are media and equipment wiped or destroyed before disposal or reuse, with a record?</t>
        </is>
      </c>
      <c r="C52" s="8" t="inlineStr">
        <is>
          <t>Discarded devices are a quiet source of data exposure.</t>
        </is>
      </c>
      <c r="D52" s="9" t="inlineStr">
        <is>
          <t>Register</t>
        </is>
      </c>
      <c r="E52" s="9" t="n"/>
      <c r="F52" s="9" t="n"/>
      <c r="G52" s="9" t="n"/>
      <c r="H52" s="9" t="n"/>
      <c r="I52" s="9" t="n"/>
      <c r="J52" s="9" t="n"/>
      <c r="K52" s="9" t="n"/>
      <c r="L52" s="10">
        <f>IF(OR(H52="",I52="Not applicable"),"",H52/3)</f>
        <v/>
      </c>
    </row>
    <row r="53" ht="28" customHeight="1">
      <c r="A53" s="8" t="inlineStr">
        <is>
          <t>Technology and cloud</t>
        </is>
      </c>
      <c r="B53" s="8" t="inlineStr">
        <is>
          <t>Are secure configuration baselines defined for servers, endpoints and cloud accounts, and checked against?</t>
        </is>
      </c>
      <c r="C53" s="8" t="inlineStr">
        <is>
          <t>Default configurations are insecure; baselines make hardening repeatable.</t>
        </is>
      </c>
      <c r="D53" s="9" t="inlineStr">
        <is>
          <t>Proof</t>
        </is>
      </c>
      <c r="E53" s="9" t="n"/>
      <c r="F53" s="9" t="n"/>
      <c r="G53" s="9" t="n"/>
      <c r="H53" s="9" t="n"/>
      <c r="I53" s="9" t="n"/>
      <c r="J53" s="9" t="n"/>
      <c r="K53" s="9" t="n"/>
      <c r="L53" s="10">
        <f>IF(OR(H53="",I53="Not applicable"),"",H53/3)</f>
        <v/>
      </c>
    </row>
    <row r="54" ht="28" customHeight="1">
      <c r="A54" s="8" t="inlineStr">
        <is>
          <t>Technology and cloud</t>
        </is>
      </c>
      <c r="B54" s="8" t="inlineStr">
        <is>
          <t>Are vulnerabilities identified at a set cadence and remediated within severity-based timescales?</t>
        </is>
      </c>
      <c r="C54" s="8" t="inlineStr">
        <is>
          <t>Unpatched known vulnerabilities are the leading cause of compromise.</t>
        </is>
      </c>
      <c r="D54" s="9" t="inlineStr">
        <is>
          <t>Register</t>
        </is>
      </c>
      <c r="E54" s="9" t="n"/>
      <c r="F54" s="9" t="n"/>
      <c r="G54" s="9" t="n"/>
      <c r="H54" s="9" t="n"/>
      <c r="I54" s="9" t="n"/>
      <c r="J54" s="9" t="n"/>
      <c r="K54" s="9" t="n"/>
      <c r="L54" s="10">
        <f>IF(OR(H54="",I54="Not applicable"),"",H54/3)</f>
        <v/>
      </c>
    </row>
    <row r="55" ht="28" customHeight="1">
      <c r="A55" s="8" t="inlineStr">
        <is>
          <t>Technology and cloud</t>
        </is>
      </c>
      <c r="B55" s="8" t="inlineStr">
        <is>
          <t>Are changes to production assessed, approved, tested and recorded, with a rollback plan?</t>
        </is>
      </c>
      <c r="C55" s="8" t="inlineStr">
        <is>
          <t>Uncontrolled change causes outages and silent security regressions.</t>
        </is>
      </c>
      <c r="D55" s="9" t="inlineStr">
        <is>
          <t>Register</t>
        </is>
      </c>
      <c r="E55" s="9" t="n"/>
      <c r="F55" s="9" t="n"/>
      <c r="G55" s="9" t="n"/>
      <c r="H55" s="9" t="n"/>
      <c r="I55" s="9" t="n"/>
      <c r="J55" s="9" t="n"/>
      <c r="K55" s="9" t="n"/>
      <c r="L55" s="10">
        <f>IF(OR(H55="",I55="Not applicable"),"",H55/3)</f>
        <v/>
      </c>
    </row>
    <row r="56" ht="28" customHeight="1">
      <c r="A56" s="8" t="inlineStr">
        <is>
          <t>Technology and cloud</t>
        </is>
      </c>
      <c r="B56" s="8" t="inlineStr">
        <is>
          <t>Are security-relevant events logged centrally, protected from alteration, retained for a set period and reviewed?</t>
        </is>
      </c>
      <c r="C56" s="8" t="inlineStr">
        <is>
          <t>Without logs incidents cannot be detected, scoped or proved.</t>
        </is>
      </c>
      <c r="D56" s="9" t="inlineStr">
        <is>
          <t>Proof</t>
        </is>
      </c>
      <c r="E56" s="9" t="n"/>
      <c r="F56" s="9" t="n"/>
      <c r="G56" s="9" t="n"/>
      <c r="H56" s="9" t="n"/>
      <c r="I56" s="9" t="n"/>
      <c r="J56" s="9" t="n"/>
      <c r="K56" s="9" t="n"/>
      <c r="L56" s="10">
        <f>IF(OR(H56="",I56="Not applicable"),"",H56/3)</f>
        <v/>
      </c>
    </row>
    <row r="57" ht="28" customHeight="1">
      <c r="A57" s="8" t="inlineStr">
        <is>
          <t>Technology and cloud</t>
        </is>
      </c>
      <c r="B57" s="8" t="inlineStr">
        <is>
          <t>Is data encrypted in transit and at rest using current algorithms, with keys managed and rotated?</t>
        </is>
      </c>
      <c r="C57" s="8" t="inlineStr">
        <is>
          <t>Encryption limits the impact of interception and storage compromise.</t>
        </is>
      </c>
      <c r="D57" s="9" t="inlineStr">
        <is>
          <t>Proof</t>
        </is>
      </c>
      <c r="E57" s="9" t="n"/>
      <c r="F57" s="9" t="n"/>
      <c r="G57" s="9" t="n"/>
      <c r="H57" s="9" t="n"/>
      <c r="I57" s="9" t="n"/>
      <c r="J57" s="9" t="n"/>
      <c r="K57" s="9" t="n"/>
      <c r="L57" s="10">
        <f>IF(OR(H57="",I57="Not applicable"),"",H57/3)</f>
        <v/>
      </c>
    </row>
    <row r="58" ht="28" customHeight="1">
      <c r="A58" s="8" t="inlineStr">
        <is>
          <t>Technology and cloud</t>
        </is>
      </c>
      <c r="B58" s="8" t="inlineStr">
        <is>
          <t>Are backups taken at the set frequency, stored separately from production and restore-tested at least quarterly?</t>
        </is>
      </c>
      <c r="C58" s="8" t="inlineStr">
        <is>
          <t>A backup that has never been restored is a hope, not a control.</t>
        </is>
      </c>
      <c r="D58" s="9" t="inlineStr">
        <is>
          <t>Register</t>
        </is>
      </c>
      <c r="E58" s="9" t="n"/>
      <c r="F58" s="9" t="n"/>
      <c r="G58" s="9" t="n"/>
      <c r="H58" s="9" t="n"/>
      <c r="I58" s="9" t="n"/>
      <c r="J58" s="9" t="n"/>
      <c r="K58" s="9" t="n"/>
      <c r="L58" s="10">
        <f>IF(OR(H58="",I58="Not applicable"),"",H58/3)</f>
        <v/>
      </c>
    </row>
    <row r="59" ht="28" customHeight="1">
      <c r="A59" s="8" t="inlineStr">
        <is>
          <t>Suppliers</t>
        </is>
      </c>
      <c r="B59" s="8" t="inlineStr">
        <is>
          <t>Are all suppliers with access to information or systems listed and tiered by data access and criticality?</t>
        </is>
      </c>
      <c r="C59" s="8" t="inlineStr">
        <is>
          <t>The register is the starting point for proportionate due diligence.</t>
        </is>
      </c>
      <c r="D59" s="9" t="inlineStr">
        <is>
          <t>Register</t>
        </is>
      </c>
      <c r="E59" s="9" t="n"/>
      <c r="F59" s="9" t="n"/>
      <c r="G59" s="9" t="n"/>
      <c r="H59" s="9" t="n"/>
      <c r="I59" s="9" t="n"/>
      <c r="J59" s="9" t="n"/>
      <c r="K59" s="9" t="n"/>
      <c r="L59" s="10">
        <f>IF(OR(H59="",I59="Not applicable"),"",H59/3)</f>
        <v/>
      </c>
    </row>
    <row r="60" ht="28" customHeight="1">
      <c r="A60" s="8" t="inlineStr">
        <is>
          <t>Suppliers</t>
        </is>
      </c>
      <c r="B60" s="8" t="inlineStr">
        <is>
          <t>Is due diligence completed before a supplier is given information or access, in proportion to its tier?</t>
        </is>
      </c>
      <c r="C60" s="8" t="inlineStr">
        <is>
          <t>Assessing after onboarding cannot prevent the exposure it is meant to find.</t>
        </is>
      </c>
      <c r="D60" s="9" t="inlineStr">
        <is>
          <t>Proof</t>
        </is>
      </c>
      <c r="E60" s="9" t="n"/>
      <c r="F60" s="9" t="n"/>
      <c r="G60" s="9" t="n"/>
      <c r="H60" s="9" t="n"/>
      <c r="I60" s="9" t="n"/>
      <c r="J60" s="9" t="n"/>
      <c r="K60" s="9" t="n"/>
      <c r="L60" s="10">
        <f>IF(OR(H60="",I60="Not applicable"),"",H60/3)</f>
        <v/>
      </c>
    </row>
    <row r="61" ht="28" customHeight="1">
      <c r="A61" s="8" t="inlineStr">
        <is>
          <t>Suppliers</t>
        </is>
      </c>
      <c r="B61" s="8" t="inlineStr">
        <is>
          <t>Do supplier contracts contain security, confidentiality, incident notification and exit clauses?</t>
        </is>
      </c>
      <c r="C61" s="8" t="inlineStr">
        <is>
          <t>Without contractual obligations there is no remedy when a supplier fails.</t>
        </is>
      </c>
      <c r="D61" s="9" t="inlineStr">
        <is>
          <t>Proof</t>
        </is>
      </c>
      <c r="E61" s="9" t="n"/>
      <c r="F61" s="9" t="n"/>
      <c r="G61" s="9" t="n"/>
      <c r="H61" s="9" t="n"/>
      <c r="I61" s="9" t="n"/>
      <c r="J61" s="9" t="n"/>
      <c r="K61" s="9" t="n"/>
      <c r="L61" s="10">
        <f>IF(OR(H61="",I61="Not applicable"),"",H61/3)</f>
        <v/>
      </c>
    </row>
    <row r="62" ht="28" customHeight="1">
      <c r="A62" s="8" t="inlineStr">
        <is>
          <t>Suppliers</t>
        </is>
      </c>
      <c r="B62" s="8" t="inlineStr">
        <is>
          <t>Are processor terms in place with every supplier that processes personal data on the organisation's behalf?</t>
        </is>
      </c>
      <c r="C62" s="8" t="inlineStr">
        <is>
          <t>Processor terms are a legal requirement and define who answers for a breach.</t>
        </is>
      </c>
      <c r="D62" s="9" t="inlineStr">
        <is>
          <t>Register</t>
        </is>
      </c>
      <c r="E62" s="9" t="n"/>
      <c r="F62" s="9" t="n"/>
      <c r="G62" s="9" t="n"/>
      <c r="H62" s="9" t="n"/>
      <c r="I62" s="9" t="n"/>
      <c r="J62" s="9" t="n"/>
      <c r="K62" s="9" t="n"/>
      <c r="L62" s="10">
        <f>IF(OR(H62="",I62="Not applicable"),"",H62/3)</f>
        <v/>
      </c>
    </row>
    <row r="63" ht="28" customHeight="1">
      <c r="A63" s="8" t="inlineStr">
        <is>
          <t>Suppliers</t>
        </is>
      </c>
      <c r="B63" s="8" t="inlineStr">
        <is>
          <t>Are suppliers reviewed at least annually, including current certificates or assurance reports?</t>
        </is>
      </c>
      <c r="C63" s="8" t="inlineStr">
        <is>
          <t>Supplier posture changes; last year's assurance does not cover this year's service.</t>
        </is>
      </c>
      <c r="D63" s="9" t="inlineStr">
        <is>
          <t>Register</t>
        </is>
      </c>
      <c r="E63" s="9" t="n"/>
      <c r="F63" s="9" t="n"/>
      <c r="G63" s="9" t="n"/>
      <c r="H63" s="9" t="n"/>
      <c r="I63" s="9" t="n"/>
      <c r="J63" s="9" t="n"/>
      <c r="K63" s="9" t="n"/>
      <c r="L63" s="10">
        <f>IF(OR(H63="",I63="Not applicable"),"",H63/3)</f>
        <v/>
      </c>
    </row>
    <row r="64" ht="28" customHeight="1">
      <c r="A64" s="8" t="inlineStr">
        <is>
          <t>Suppliers</t>
        </is>
      </c>
      <c r="B64" s="8" t="inlineStr">
        <is>
          <t>Is there an exit process that recovers data and confirms deletion when a supplier relationship ends?</t>
        </is>
      </c>
      <c r="C64" s="8" t="inlineStr">
        <is>
          <t>Data left with former suppliers is unmanaged and unprotected.</t>
        </is>
      </c>
      <c r="D64" s="9" t="inlineStr">
        <is>
          <t>Policy</t>
        </is>
      </c>
      <c r="E64" s="9" t="n"/>
      <c r="F64" s="9" t="n"/>
      <c r="G64" s="9" t="n"/>
      <c r="H64" s="9" t="n"/>
      <c r="I64" s="9" t="n"/>
      <c r="J64" s="9" t="n"/>
      <c r="K64" s="9" t="n"/>
      <c r="L64" s="10">
        <f>IF(OR(H64="",I64="Not applicable"),"",H64/3)</f>
        <v/>
      </c>
    </row>
    <row r="65" ht="28" customHeight="1">
      <c r="A65" s="8" t="inlineStr">
        <is>
          <t>Incidents and continuity</t>
        </is>
      </c>
      <c r="B65" s="8" t="inlineStr">
        <is>
          <t>Do staff know how to report a security event, and is every report logged and triaged within a set time?</t>
        </is>
      </c>
      <c r="C65" s="8" t="inlineStr">
        <is>
          <t>Fast reporting is the difference between an event and a breach.</t>
        </is>
      </c>
      <c r="D65" s="9" t="inlineStr">
        <is>
          <t>Proof</t>
        </is>
      </c>
      <c r="E65" s="9" t="n"/>
      <c r="F65" s="9" t="n"/>
      <c r="G65" s="9" t="n"/>
      <c r="H65" s="9" t="n"/>
      <c r="I65" s="9" t="n"/>
      <c r="J65" s="9" t="n"/>
      <c r="K65" s="9" t="n"/>
      <c r="L65" s="10">
        <f>IF(OR(H65="",I65="Not applicable"),"",H65/3)</f>
        <v/>
      </c>
    </row>
    <row r="66" ht="28" customHeight="1">
      <c r="A66" s="8" t="inlineStr">
        <is>
          <t>Incidents and continuity</t>
        </is>
      </c>
      <c r="B66" s="8" t="inlineStr">
        <is>
          <t>Is there an incident procedure with severity levels, roles and escalation that has been exercised in the last twelve months?</t>
        </is>
      </c>
      <c r="C66" s="8" t="inlineStr">
        <is>
          <t>Procedures that have never been rehearsed fail under pressure.</t>
        </is>
      </c>
      <c r="D66" s="9" t="inlineStr">
        <is>
          <t>Policy</t>
        </is>
      </c>
      <c r="E66" s="9" t="n"/>
      <c r="F66" s="9" t="n"/>
      <c r="G66" s="9" t="n"/>
      <c r="H66" s="9" t="n"/>
      <c r="I66" s="9" t="n"/>
      <c r="J66" s="9" t="n"/>
      <c r="K66" s="9" t="n"/>
      <c r="L66" s="10">
        <f>IF(OR(H66="",I66="Not applicable"),"",H66/3)</f>
        <v/>
      </c>
    </row>
    <row r="67" ht="28" customHeight="1">
      <c r="A67" s="8" t="inlineStr">
        <is>
          <t>Incidents and continuity</t>
        </is>
      </c>
      <c r="B67" s="8" t="inlineStr">
        <is>
          <t>Is there a personal data breach process that assesses the risk to individuals and meets the 72 hour notification duty?</t>
        </is>
      </c>
      <c r="C67" s="8" t="inlineStr">
        <is>
          <t>Late or missed breach notification attracts regulatory action regardless of the breach itself.</t>
        </is>
      </c>
      <c r="D67" s="9" t="inlineStr">
        <is>
          <t>Policy</t>
        </is>
      </c>
      <c r="E67" s="9" t="n"/>
      <c r="F67" s="9" t="n"/>
      <c r="G67" s="9" t="n"/>
      <c r="H67" s="9" t="n"/>
      <c r="I67" s="9" t="n"/>
      <c r="J67" s="9" t="n"/>
      <c r="K67" s="9" t="n"/>
      <c r="L67" s="10">
        <f>IF(OR(H67="",I67="Not applicable"),"",H67/3)</f>
        <v/>
      </c>
    </row>
    <row r="68" ht="28" customHeight="1">
      <c r="A68" s="8" t="inlineStr">
        <is>
          <t>Incidents and continuity</t>
        </is>
      </c>
      <c r="B68" s="8" t="inlineStr">
        <is>
          <t>Is a post-incident review held for significant incidents, with actions tracked to closure?</t>
        </is>
      </c>
      <c r="C68" s="8" t="inlineStr">
        <is>
          <t>Learning is the only way incidents reduce over time.</t>
        </is>
      </c>
      <c r="D68" s="9" t="inlineStr">
        <is>
          <t>Register</t>
        </is>
      </c>
      <c r="E68" s="9" t="n"/>
      <c r="F68" s="9" t="n"/>
      <c r="G68" s="9" t="n"/>
      <c r="H68" s="9" t="n"/>
      <c r="I68" s="9" t="n"/>
      <c r="J68" s="9" t="n"/>
      <c r="K68" s="9" t="n"/>
      <c r="L68" s="10">
        <f>IF(OR(H68="",I68="Not applicable"),"",H68/3)</f>
        <v/>
      </c>
    </row>
    <row r="69" ht="28" customHeight="1">
      <c r="A69" s="8" t="inlineStr">
        <is>
          <t>Incidents and continuity</t>
        </is>
      </c>
      <c r="B69" s="8" t="inlineStr">
        <is>
          <t>Has a business impact analysis identified the critical processes with recovery time and recovery point objectives?</t>
        </is>
      </c>
      <c r="C69" s="8" t="inlineStr">
        <is>
          <t>Recovery plans without objectives cannot be tested or resourced.</t>
        </is>
      </c>
      <c r="D69" s="9" t="inlineStr">
        <is>
          <t>Register</t>
        </is>
      </c>
      <c r="E69" s="9" t="n"/>
      <c r="F69" s="9" t="n"/>
      <c r="G69" s="9" t="n"/>
      <c r="H69" s="9" t="n"/>
      <c r="I69" s="9" t="n"/>
      <c r="J69" s="9" t="n"/>
      <c r="K69" s="9" t="n"/>
      <c r="L69" s="10">
        <f>IF(OR(H69="",I69="Not applicable"),"",H69/3)</f>
        <v/>
      </c>
    </row>
    <row r="70" ht="28" customHeight="1">
      <c r="A70" s="8" t="inlineStr">
        <is>
          <t>Incidents and continuity</t>
        </is>
      </c>
      <c r="B70" s="8" t="inlineStr">
        <is>
          <t>Are continuity and recovery plans documented and tested at least annually, with results recorded?</t>
        </is>
      </c>
      <c r="C70" s="8" t="inlineStr">
        <is>
          <t>An untested plan gives false confidence to management and clients.</t>
        </is>
      </c>
      <c r="D70" s="9" t="inlineStr">
        <is>
          <t>Register</t>
        </is>
      </c>
      <c r="E70" s="9" t="n"/>
      <c r="F70" s="9" t="n"/>
      <c r="G70" s="9" t="n"/>
      <c r="H70" s="9" t="n"/>
      <c r="I70" s="9" t="n"/>
      <c r="J70" s="9" t="n"/>
      <c r="K70" s="9" t="n"/>
      <c r="L70" s="10">
        <f>IF(OR(H70="",I70="Not applicable"),"",H70/3)</f>
        <v/>
      </c>
    </row>
    <row r="71" ht="28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10">
        <f>IF(OR(H71="",I71="Not applicable"),"",H71/3)</f>
        <v/>
      </c>
    </row>
    <row r="72" ht="28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0">
        <f>IF(OR(H72="",I72="Not applicable"),"",H72/3)</f>
        <v/>
      </c>
    </row>
    <row r="73" ht="28" customHeight="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10">
        <f>IF(OR(H73="",I73="Not applicable"),"",H73/3)</f>
        <v/>
      </c>
    </row>
    <row r="74" ht="28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10">
        <f>IF(OR(H74="",I74="Not applicable"),"",H74/3)</f>
        <v/>
      </c>
    </row>
    <row r="75" ht="28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10">
        <f>IF(OR(H75="",I75="Not applicable"),"",H75/3)</f>
        <v/>
      </c>
    </row>
    <row r="76" ht="28" customHeight="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10">
        <f>IF(OR(H76="",I76="Not applicable"),"",H76/3)</f>
        <v/>
      </c>
    </row>
    <row r="77" ht="28" customHeight="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10">
        <f>IF(OR(H77="",I77="Not applicable"),"",H77/3)</f>
        <v/>
      </c>
    </row>
    <row r="78" ht="28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10">
        <f>IF(OR(H78="",I78="Not applicable"),"",H78/3)</f>
        <v/>
      </c>
    </row>
    <row r="79" ht="28" customHeight="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10">
        <f>IF(OR(H79="",I79="Not applicable"),"",H79/3)</f>
        <v/>
      </c>
    </row>
    <row r="80" ht="28" customHeight="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10">
        <f>IF(OR(H80="",I80="Not applicable"),"",H80/3)</f>
        <v/>
      </c>
    </row>
    <row r="81" ht="28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10">
        <f>IF(OR(H81="",I81="Not applicable"),"",H81/3)</f>
        <v/>
      </c>
    </row>
    <row r="82" ht="28" customHeight="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10">
        <f>IF(OR(H82="",I82="Not applicable"),"",H82/3)</f>
        <v/>
      </c>
    </row>
    <row r="83" ht="28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10">
        <f>IF(OR(H83="",I83="Not applicable"),"",H83/3)</f>
        <v/>
      </c>
    </row>
    <row r="84" ht="28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10">
        <f>IF(OR(H84="",I84="Not applicable"),"",H84/3)</f>
        <v/>
      </c>
    </row>
    <row r="85" ht="28" customHeight="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10">
        <f>IF(OR(H85="",I85="Not applicable"),"",H85/3)</f>
        <v/>
      </c>
    </row>
    <row r="86" ht="28" customHeight="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10">
        <f>IF(OR(H86="",I86="Not applicable"),"",H86/3)</f>
        <v/>
      </c>
    </row>
    <row r="87" ht="28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10">
        <f>IF(OR(H87="",I87="Not applicable"),"",H87/3)</f>
        <v/>
      </c>
    </row>
    <row r="88" ht="28" customHeight="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10">
        <f>IF(OR(H88="",I88="Not applicable"),"",H88/3)</f>
        <v/>
      </c>
    </row>
    <row r="89" ht="28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10">
        <f>IF(OR(H89="",I89="Not applicable"),"",H89/3)</f>
        <v/>
      </c>
    </row>
    <row r="90" ht="28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10">
        <f>IF(OR(H90="",I90="Not applicable"),"",H90/3)</f>
        <v/>
      </c>
    </row>
    <row r="91" ht="28" customHeight="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10">
        <f>IF(OR(H91="",I91="Not applicable"),"",H91/3)</f>
        <v/>
      </c>
    </row>
    <row r="92" ht="28" customHeight="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10">
        <f>IF(OR(H92="",I92="Not applicable"),"",H92/3)</f>
        <v/>
      </c>
    </row>
    <row r="93" ht="28" customHeight="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10">
        <f>IF(OR(H93="",I93="Not applicable"),"",H93/3)</f>
        <v/>
      </c>
    </row>
    <row r="94" ht="28" customHeight="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10">
        <f>IF(OR(H94="",I94="Not applicable"),"",H94/3)</f>
        <v/>
      </c>
    </row>
    <row r="95" ht="28" customHeight="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10">
        <f>IF(OR(H95="",I95="Not applicable"),"",H95/3)</f>
        <v/>
      </c>
    </row>
    <row r="96" ht="28" customHeight="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10">
        <f>IF(OR(H96="",I96="Not applicable"),"",H96/3)</f>
        <v/>
      </c>
    </row>
    <row r="97" ht="28" customHeight="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10">
        <f>IF(OR(H97="",I97="Not applicable"),"",H97/3)</f>
        <v/>
      </c>
    </row>
    <row r="98" ht="28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10">
        <f>IF(OR(H98="",I98="Not applicable"),"",H98/3)</f>
        <v/>
      </c>
    </row>
    <row r="99" ht="28" customHeight="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10">
        <f>IF(OR(H99="",I99="Not applicable"),"",H99/3)</f>
        <v/>
      </c>
    </row>
    <row r="100" ht="28" customHeight="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10">
        <f>IF(OR(H100="",I100="Not applicable"),"",H100/3)</f>
        <v/>
      </c>
    </row>
    <row r="101" ht="28" customHeight="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10">
        <f>IF(OR(H101="",I101="Not applicable"),"",H101/3)</f>
        <v/>
      </c>
    </row>
    <row r="102" ht="28" customHeight="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10">
        <f>IF(OR(H102="",I102="Not applicable"),"",H102/3)</f>
        <v/>
      </c>
    </row>
    <row r="103" ht="28" customHeight="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10">
        <f>IF(OR(H103="",I103="Not applicable"),"",H103/3)</f>
        <v/>
      </c>
    </row>
    <row r="104" ht="28" customHeight="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0">
        <f>IF(OR(H104="",I104="Not applicable"),"",H104/3)</f>
        <v/>
      </c>
    </row>
    <row r="105" ht="28" customHeight="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10">
        <f>IF(OR(H105="",I105="Not applicable"),"",H105/3)</f>
        <v/>
      </c>
    </row>
    <row r="106" ht="28" customHeight="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10">
        <f>IF(OR(H106="",I106="Not applicable"),"",H106/3)</f>
        <v/>
      </c>
    </row>
    <row r="107" ht="28" customHeight="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10">
        <f>IF(OR(H107="",I107="Not applicable"),"",H107/3)</f>
        <v/>
      </c>
    </row>
    <row r="108" ht="28" customHeight="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10">
        <f>IF(OR(H108="",I108="Not applicable"),"",H108/3)</f>
        <v/>
      </c>
    </row>
    <row r="109" ht="28" customHeight="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10">
        <f>IF(OR(H109="",I109="Not applicable"),"",H109/3)</f>
        <v/>
      </c>
    </row>
    <row r="110" ht="28" customHeight="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10">
        <f>IF(OR(H110="",I110="Not applicable"),"",H110/3)</f>
        <v/>
      </c>
    </row>
  </sheetData>
  <mergeCells count="3">
    <mergeCell ref="A8:L8"/>
    <mergeCell ref="A2:L2"/>
    <mergeCell ref="A9:L9"/>
  </mergeCells>
  <dataValidations count="4">
    <dataValidation sqref="D11:D110" showDropDown="0" showInputMessage="0" showErrorMessage="0" allowBlank="1" errorTitle="Invalid entry" error="Choose a value from the list." type="list">
      <formula1>"Policy,Register,Proof"</formula1>
    </dataValidation>
    <dataValidation sqref="H11:H110" showDropDown="0" showInputMessage="0" showErrorMessage="0" allowBlank="1" errorTitle="Invalid entry" error="Enter a whole number from 0 to 3." type="whole" operator="between">
      <formula1>0</formula1>
      <formula2>3</formula2>
    </dataValidation>
    <dataValidation sqref="I11:I110" showDropDown="0" showInputMessage="0" showErrorMessage="0" allowBlank="1" errorTitle="Invalid entry" error="Choose a value from the list." type="list">
      <formula1>"Verified,To confirm,Not implemented,Not applicable"</formula1>
    </dataValidation>
    <dataValidation sqref="J11:J110" showDropDown="0" showInputMessage="0" showErrorMessage="0" allowBlank="1" errorTitle="Invalid entry" error="Enter a date." type="date" operator="greaterThan">
      <formula1>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2026-10-25T21:29:52Z</dcterms:created>
  <dcterms:modified xmlns:dcterms="http://purl.org/dc/terms/" xmlns:xsi="http://www.w3.org/2001/XMLSchema-instance" xsi:type="dcterms:W3CDTF">2026-10-25T21:29:52Z</dcterms:modified>
</cp:coreProperties>
</file>