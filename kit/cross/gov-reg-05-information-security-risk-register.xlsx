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 security risk reg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  <fill>
      <patternFill patternType="solid">
        <fgColor rgb="FF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  <xf numFmtId="1" fontId="3" fillId="5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05InformationSecurityRiskRegisterTable" displayName="GovReg05InformationSecurityRiskRegisterTable" ref="A10:T110" headerRowCount="1">
  <autoFilter ref="A10:T110"/>
  <tableColumns count="20">
    <tableColumn id="1" name="Risk ID"/>
    <tableColumn id="2" name="Asset or process"/>
    <tableColumn id="3" name="Risk scenario"/>
    <tableColumn id="4" name="Threat"/>
    <tableColumn id="5" name="Vulnerability"/>
    <tableColumn id="6" name="Existing controls"/>
    <tableColumn id="7" name="Likelihood (1 to 5)"/>
    <tableColumn id="8" name="Impact (1 to 5)"/>
    <tableColumn id="9" name="Score"/>
    <tableColumn id="10" name="Band"/>
    <tableColumn id="11" name="Treatment option"/>
    <tableColumn id="12" name="Treatment plan and SoA references"/>
    <tableColumn id="13" name="Risk owner (role)"/>
    <tableColumn id="14" name="Due date"/>
    <tableColumn id="15" name="Residual likelihood (1 to 5)"/>
    <tableColumn id="16" name="Residual impact (1 to 5)"/>
    <tableColumn id="17" name="Residual score"/>
    <tableColumn id="18" name="Status"/>
    <tableColumn id="19" name="Last review"/>
    <tableColumn id="20" name="Next review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T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22" customWidth="1" min="4" max="4"/>
    <col width="22" customWidth="1" min="5" max="5"/>
    <col width="32" customWidth="1" min="6" max="6"/>
    <col width="11" customWidth="1" min="7" max="7"/>
    <col width="11" customWidth="1" min="8" max="8"/>
    <col width="9" customWidth="1" min="9" max="9"/>
    <col width="11" customWidth="1" min="10" max="10"/>
    <col width="13" customWidth="1" min="11" max="11"/>
    <col width="40" customWidth="1" min="12" max="12"/>
    <col width="20" customWidth="1" min="13" max="13"/>
    <col width="13" customWidth="1" min="14" max="14"/>
    <col width="11" customWidth="1" min="15" max="15"/>
    <col width="11" customWidth="1" min="16" max="16"/>
    <col width="10" customWidth="1" min="17" max="17"/>
    <col width="12" customWidth="1" min="18" max="18"/>
    <col width="13" customWidth="1" min="19" max="19"/>
    <col width="13" customWidth="1" min="20" max="20"/>
  </cols>
  <sheetData>
    <row r="2">
      <c r="A2" s="1" t="inlineStr">
        <is>
          <t>Information security risk register</t>
        </is>
      </c>
    </row>
    <row r="3">
      <c r="A3" s="2" t="inlineStr">
        <is>
          <t>GOV-REG-05. 100 prepared rows. Keep completed copies in your organisation's approved storage; do not publish filled registers.</t>
        </is>
      </c>
    </row>
    <row r="4">
      <c r="A4" s="2" t="inlineStr">
        <is>
          <t>Serves: ISO/IEC 27001:2022 clause 6.1.2; ISO/IEC 27001:2022 clause 6.1.3; ISO/IEC 27001:2022 clause 8.2; ISO/IEC 27001:2022 clause 8.3; ISO/IEC 27701 clause 5.4.1.2; SOC 2 CC3.1; SOC 2 CC3.2; GDPR Article 32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COUNTA(R11:R110)</f>
        <v/>
      </c>
      <c r="C6" s="5" t="n"/>
    </row>
    <row r="8" ht="44" customHeight="1">
      <c r="A8" s="6" t="inlineStr">
        <is>
          <t>Every information security and privacy risk scenario identified under GOV-PRO-05, with its raw and residual ratings, treatment decision, owner and review dates. The score and band columns calculate from the 1 to 5 scales so that two assessors produce the same result and acceptance goes to the right authority.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Risk ID</t>
        </is>
      </c>
      <c r="B10" s="7" t="inlineStr">
        <is>
          <t>Asset or process</t>
        </is>
      </c>
      <c r="C10" s="7" t="inlineStr">
        <is>
          <t>Risk scenario</t>
        </is>
      </c>
      <c r="D10" s="7" t="inlineStr">
        <is>
          <t>Threat</t>
        </is>
      </c>
      <c r="E10" s="7" t="inlineStr">
        <is>
          <t>Vulnerability</t>
        </is>
      </c>
      <c r="F10" s="7" t="inlineStr">
        <is>
          <t>Existing controls</t>
        </is>
      </c>
      <c r="G10" s="7" t="inlineStr">
        <is>
          <t>Likelihood (1 to 5)</t>
        </is>
      </c>
      <c r="H10" s="7" t="inlineStr">
        <is>
          <t>Impact (1 to 5)</t>
        </is>
      </c>
      <c r="I10" s="7" t="inlineStr">
        <is>
          <t>Score</t>
        </is>
      </c>
      <c r="J10" s="7" t="inlineStr">
        <is>
          <t>Band</t>
        </is>
      </c>
      <c r="K10" s="7" t="inlineStr">
        <is>
          <t>Treatment option</t>
        </is>
      </c>
      <c r="L10" s="7" t="inlineStr">
        <is>
          <t>Treatment plan and SoA references</t>
        </is>
      </c>
      <c r="M10" s="7" t="inlineStr">
        <is>
          <t>Risk owner (role)</t>
        </is>
      </c>
      <c r="N10" s="7" t="inlineStr">
        <is>
          <t>Due date</t>
        </is>
      </c>
      <c r="O10" s="7" t="inlineStr">
        <is>
          <t>Residual likelihood (1 to 5)</t>
        </is>
      </c>
      <c r="P10" s="7" t="inlineStr">
        <is>
          <t>Residual impact (1 to 5)</t>
        </is>
      </c>
      <c r="Q10" s="7" t="inlineStr">
        <is>
          <t>Residual score</t>
        </is>
      </c>
      <c r="R10" s="7" t="inlineStr">
        <is>
          <t>Status</t>
        </is>
      </c>
      <c r="S10" s="7" t="inlineStr">
        <is>
          <t>Last review</t>
        </is>
      </c>
      <c r="T10" s="7" t="inlineStr">
        <is>
          <t>Next review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9">
        <f>IF(OR(G11="",H11=""),"",G11*H11)</f>
        <v/>
      </c>
      <c r="J11" s="10">
        <f>IF(I11="","",IF(I11&gt;=16,"Critical",IF(I11&gt;=10,"High",IF(I11&gt;=5,"Medium","Low"))))</f>
        <v/>
      </c>
      <c r="K11" s="8" t="n"/>
      <c r="L11" s="8" t="n"/>
      <c r="M11" s="8" t="n"/>
      <c r="N11" s="8" t="n"/>
      <c r="O11" s="8" t="n"/>
      <c r="P11" s="8" t="n"/>
      <c r="Q11" s="9">
        <f>IF(OR(O11="",P11=""),"",O11*P11)</f>
        <v/>
      </c>
      <c r="R11" s="8" t="n"/>
      <c r="S11" s="8" t="n"/>
      <c r="T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9">
        <f>IF(OR(G12="",H12=""),"",G12*H12)</f>
        <v/>
      </c>
      <c r="J12" s="10">
        <f>IF(I12="","",IF(I12&gt;=16,"Critical",IF(I12&gt;=10,"High",IF(I12&gt;=5,"Medium","Low"))))</f>
        <v/>
      </c>
      <c r="K12" s="8" t="n"/>
      <c r="L12" s="8" t="n"/>
      <c r="M12" s="8" t="n"/>
      <c r="N12" s="8" t="n"/>
      <c r="O12" s="8" t="n"/>
      <c r="P12" s="8" t="n"/>
      <c r="Q12" s="9">
        <f>IF(OR(O12="",P12=""),"",O12*P12)</f>
        <v/>
      </c>
      <c r="R12" s="8" t="n"/>
      <c r="S12" s="8" t="n"/>
      <c r="T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9">
        <f>IF(OR(G13="",H13=""),"",G13*H13)</f>
        <v/>
      </c>
      <c r="J13" s="10">
        <f>IF(I13="","",IF(I13&gt;=16,"Critical",IF(I13&gt;=10,"High",IF(I13&gt;=5,"Medium","Low"))))</f>
        <v/>
      </c>
      <c r="K13" s="8" t="n"/>
      <c r="L13" s="8" t="n"/>
      <c r="M13" s="8" t="n"/>
      <c r="N13" s="8" t="n"/>
      <c r="O13" s="8" t="n"/>
      <c r="P13" s="8" t="n"/>
      <c r="Q13" s="9">
        <f>IF(OR(O13="",P13=""),"",O13*P13)</f>
        <v/>
      </c>
      <c r="R13" s="8" t="n"/>
      <c r="S13" s="8" t="n"/>
      <c r="T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9">
        <f>IF(OR(G14="",H14=""),"",G14*H14)</f>
        <v/>
      </c>
      <c r="J14" s="10">
        <f>IF(I14="","",IF(I14&gt;=16,"Critical",IF(I14&gt;=10,"High",IF(I14&gt;=5,"Medium","Low"))))</f>
        <v/>
      </c>
      <c r="K14" s="8" t="n"/>
      <c r="L14" s="8" t="n"/>
      <c r="M14" s="8" t="n"/>
      <c r="N14" s="8" t="n"/>
      <c r="O14" s="8" t="n"/>
      <c r="P14" s="8" t="n"/>
      <c r="Q14" s="9">
        <f>IF(OR(O14="",P14=""),"",O14*P14)</f>
        <v/>
      </c>
      <c r="R14" s="8" t="n"/>
      <c r="S14" s="8" t="n"/>
      <c r="T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9">
        <f>IF(OR(G15="",H15=""),"",G15*H15)</f>
        <v/>
      </c>
      <c r="J15" s="10">
        <f>IF(I15="","",IF(I15&gt;=16,"Critical",IF(I15&gt;=10,"High",IF(I15&gt;=5,"Medium","Low"))))</f>
        <v/>
      </c>
      <c r="K15" s="8" t="n"/>
      <c r="L15" s="8" t="n"/>
      <c r="M15" s="8" t="n"/>
      <c r="N15" s="8" t="n"/>
      <c r="O15" s="8" t="n"/>
      <c r="P15" s="8" t="n"/>
      <c r="Q15" s="9">
        <f>IF(OR(O15="",P15=""),"",O15*P15)</f>
        <v/>
      </c>
      <c r="R15" s="8" t="n"/>
      <c r="S15" s="8" t="n"/>
      <c r="T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9">
        <f>IF(OR(G16="",H16=""),"",G16*H16)</f>
        <v/>
      </c>
      <c r="J16" s="10">
        <f>IF(I16="","",IF(I16&gt;=16,"Critical",IF(I16&gt;=10,"High",IF(I16&gt;=5,"Medium","Low"))))</f>
        <v/>
      </c>
      <c r="K16" s="8" t="n"/>
      <c r="L16" s="8" t="n"/>
      <c r="M16" s="8" t="n"/>
      <c r="N16" s="8" t="n"/>
      <c r="O16" s="8" t="n"/>
      <c r="P16" s="8" t="n"/>
      <c r="Q16" s="9">
        <f>IF(OR(O16="",P16=""),"",O16*P16)</f>
        <v/>
      </c>
      <c r="R16" s="8" t="n"/>
      <c r="S16" s="8" t="n"/>
      <c r="T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9">
        <f>IF(OR(G17="",H17=""),"",G17*H17)</f>
        <v/>
      </c>
      <c r="J17" s="10">
        <f>IF(I17="","",IF(I17&gt;=16,"Critical",IF(I17&gt;=10,"High",IF(I17&gt;=5,"Medium","Low"))))</f>
        <v/>
      </c>
      <c r="K17" s="8" t="n"/>
      <c r="L17" s="8" t="n"/>
      <c r="M17" s="8" t="n"/>
      <c r="N17" s="8" t="n"/>
      <c r="O17" s="8" t="n"/>
      <c r="P17" s="8" t="n"/>
      <c r="Q17" s="9">
        <f>IF(OR(O17="",P17=""),"",O17*P17)</f>
        <v/>
      </c>
      <c r="R17" s="8" t="n"/>
      <c r="S17" s="8" t="n"/>
      <c r="T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9">
        <f>IF(OR(G18="",H18=""),"",G18*H18)</f>
        <v/>
      </c>
      <c r="J18" s="10">
        <f>IF(I18="","",IF(I18&gt;=16,"Critical",IF(I18&gt;=10,"High",IF(I18&gt;=5,"Medium","Low"))))</f>
        <v/>
      </c>
      <c r="K18" s="8" t="n"/>
      <c r="L18" s="8" t="n"/>
      <c r="M18" s="8" t="n"/>
      <c r="N18" s="8" t="n"/>
      <c r="O18" s="8" t="n"/>
      <c r="P18" s="8" t="n"/>
      <c r="Q18" s="9">
        <f>IF(OR(O18="",P18=""),"",O18*P18)</f>
        <v/>
      </c>
      <c r="R18" s="8" t="n"/>
      <c r="S18" s="8" t="n"/>
      <c r="T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9">
        <f>IF(OR(G19="",H19=""),"",G19*H19)</f>
        <v/>
      </c>
      <c r="J19" s="10">
        <f>IF(I19="","",IF(I19&gt;=16,"Critical",IF(I19&gt;=10,"High",IF(I19&gt;=5,"Medium","Low"))))</f>
        <v/>
      </c>
      <c r="K19" s="8" t="n"/>
      <c r="L19" s="8" t="n"/>
      <c r="M19" s="8" t="n"/>
      <c r="N19" s="8" t="n"/>
      <c r="O19" s="8" t="n"/>
      <c r="P19" s="8" t="n"/>
      <c r="Q19" s="9">
        <f>IF(OR(O19="",P19=""),"",O19*P19)</f>
        <v/>
      </c>
      <c r="R19" s="8" t="n"/>
      <c r="S19" s="8" t="n"/>
      <c r="T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9">
        <f>IF(OR(G20="",H20=""),"",G20*H20)</f>
        <v/>
      </c>
      <c r="J20" s="10">
        <f>IF(I20="","",IF(I20&gt;=16,"Critical",IF(I20&gt;=10,"High",IF(I20&gt;=5,"Medium","Low"))))</f>
        <v/>
      </c>
      <c r="K20" s="8" t="n"/>
      <c r="L20" s="8" t="n"/>
      <c r="M20" s="8" t="n"/>
      <c r="N20" s="8" t="n"/>
      <c r="O20" s="8" t="n"/>
      <c r="P20" s="8" t="n"/>
      <c r="Q20" s="9">
        <f>IF(OR(O20="",P20=""),"",O20*P20)</f>
        <v/>
      </c>
      <c r="R20" s="8" t="n"/>
      <c r="S20" s="8" t="n"/>
      <c r="T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9">
        <f>IF(OR(G21="",H21=""),"",G21*H21)</f>
        <v/>
      </c>
      <c r="J21" s="10">
        <f>IF(I21="","",IF(I21&gt;=16,"Critical",IF(I21&gt;=10,"High",IF(I21&gt;=5,"Medium","Low"))))</f>
        <v/>
      </c>
      <c r="K21" s="8" t="n"/>
      <c r="L21" s="8" t="n"/>
      <c r="M21" s="8" t="n"/>
      <c r="N21" s="8" t="n"/>
      <c r="O21" s="8" t="n"/>
      <c r="P21" s="8" t="n"/>
      <c r="Q21" s="9">
        <f>IF(OR(O21="",P21=""),"",O21*P21)</f>
        <v/>
      </c>
      <c r="R21" s="8" t="n"/>
      <c r="S21" s="8" t="n"/>
      <c r="T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9">
        <f>IF(OR(G22="",H22=""),"",G22*H22)</f>
        <v/>
      </c>
      <c r="J22" s="10">
        <f>IF(I22="","",IF(I22&gt;=16,"Critical",IF(I22&gt;=10,"High",IF(I22&gt;=5,"Medium","Low"))))</f>
        <v/>
      </c>
      <c r="K22" s="8" t="n"/>
      <c r="L22" s="8" t="n"/>
      <c r="M22" s="8" t="n"/>
      <c r="N22" s="8" t="n"/>
      <c r="O22" s="8" t="n"/>
      <c r="P22" s="8" t="n"/>
      <c r="Q22" s="9">
        <f>IF(OR(O22="",P22=""),"",O22*P22)</f>
        <v/>
      </c>
      <c r="R22" s="8" t="n"/>
      <c r="S22" s="8" t="n"/>
      <c r="T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9">
        <f>IF(OR(G23="",H23=""),"",G23*H23)</f>
        <v/>
      </c>
      <c r="J23" s="10">
        <f>IF(I23="","",IF(I23&gt;=16,"Critical",IF(I23&gt;=10,"High",IF(I23&gt;=5,"Medium","Low"))))</f>
        <v/>
      </c>
      <c r="K23" s="8" t="n"/>
      <c r="L23" s="8" t="n"/>
      <c r="M23" s="8" t="n"/>
      <c r="N23" s="8" t="n"/>
      <c r="O23" s="8" t="n"/>
      <c r="P23" s="8" t="n"/>
      <c r="Q23" s="9">
        <f>IF(OR(O23="",P23=""),"",O23*P23)</f>
        <v/>
      </c>
      <c r="R23" s="8" t="n"/>
      <c r="S23" s="8" t="n"/>
      <c r="T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9">
        <f>IF(OR(G24="",H24=""),"",G24*H24)</f>
        <v/>
      </c>
      <c r="J24" s="10">
        <f>IF(I24="","",IF(I24&gt;=16,"Critical",IF(I24&gt;=10,"High",IF(I24&gt;=5,"Medium","Low"))))</f>
        <v/>
      </c>
      <c r="K24" s="8" t="n"/>
      <c r="L24" s="8" t="n"/>
      <c r="M24" s="8" t="n"/>
      <c r="N24" s="8" t="n"/>
      <c r="O24" s="8" t="n"/>
      <c r="P24" s="8" t="n"/>
      <c r="Q24" s="9">
        <f>IF(OR(O24="",P24=""),"",O24*P24)</f>
        <v/>
      </c>
      <c r="R24" s="8" t="n"/>
      <c r="S24" s="8" t="n"/>
      <c r="T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9">
        <f>IF(OR(G25="",H25=""),"",G25*H25)</f>
        <v/>
      </c>
      <c r="J25" s="10">
        <f>IF(I25="","",IF(I25&gt;=16,"Critical",IF(I25&gt;=10,"High",IF(I25&gt;=5,"Medium","Low"))))</f>
        <v/>
      </c>
      <c r="K25" s="8" t="n"/>
      <c r="L25" s="8" t="n"/>
      <c r="M25" s="8" t="n"/>
      <c r="N25" s="8" t="n"/>
      <c r="O25" s="8" t="n"/>
      <c r="P25" s="8" t="n"/>
      <c r="Q25" s="9">
        <f>IF(OR(O25="",P25=""),"",O25*P25)</f>
        <v/>
      </c>
      <c r="R25" s="8" t="n"/>
      <c r="S25" s="8" t="n"/>
      <c r="T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9">
        <f>IF(OR(G26="",H26=""),"",G26*H26)</f>
        <v/>
      </c>
      <c r="J26" s="10">
        <f>IF(I26="","",IF(I26&gt;=16,"Critical",IF(I26&gt;=10,"High",IF(I26&gt;=5,"Medium","Low"))))</f>
        <v/>
      </c>
      <c r="K26" s="8" t="n"/>
      <c r="L26" s="8" t="n"/>
      <c r="M26" s="8" t="n"/>
      <c r="N26" s="8" t="n"/>
      <c r="O26" s="8" t="n"/>
      <c r="P26" s="8" t="n"/>
      <c r="Q26" s="9">
        <f>IF(OR(O26="",P26=""),"",O26*P26)</f>
        <v/>
      </c>
      <c r="R26" s="8" t="n"/>
      <c r="S26" s="8" t="n"/>
      <c r="T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9">
        <f>IF(OR(G27="",H27=""),"",G27*H27)</f>
        <v/>
      </c>
      <c r="J27" s="10">
        <f>IF(I27="","",IF(I27&gt;=16,"Critical",IF(I27&gt;=10,"High",IF(I27&gt;=5,"Medium","Low"))))</f>
        <v/>
      </c>
      <c r="K27" s="8" t="n"/>
      <c r="L27" s="8" t="n"/>
      <c r="M27" s="8" t="n"/>
      <c r="N27" s="8" t="n"/>
      <c r="O27" s="8" t="n"/>
      <c r="P27" s="8" t="n"/>
      <c r="Q27" s="9">
        <f>IF(OR(O27="",P27=""),"",O27*P27)</f>
        <v/>
      </c>
      <c r="R27" s="8" t="n"/>
      <c r="S27" s="8" t="n"/>
      <c r="T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9">
        <f>IF(OR(G28="",H28=""),"",G28*H28)</f>
        <v/>
      </c>
      <c r="J28" s="10">
        <f>IF(I28="","",IF(I28&gt;=16,"Critical",IF(I28&gt;=10,"High",IF(I28&gt;=5,"Medium","Low"))))</f>
        <v/>
      </c>
      <c r="K28" s="8" t="n"/>
      <c r="L28" s="8" t="n"/>
      <c r="M28" s="8" t="n"/>
      <c r="N28" s="8" t="n"/>
      <c r="O28" s="8" t="n"/>
      <c r="P28" s="8" t="n"/>
      <c r="Q28" s="9">
        <f>IF(OR(O28="",P28=""),"",O28*P28)</f>
        <v/>
      </c>
      <c r="R28" s="8" t="n"/>
      <c r="S28" s="8" t="n"/>
      <c r="T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9">
        <f>IF(OR(G29="",H29=""),"",G29*H29)</f>
        <v/>
      </c>
      <c r="J29" s="10">
        <f>IF(I29="","",IF(I29&gt;=16,"Critical",IF(I29&gt;=10,"High",IF(I29&gt;=5,"Medium","Low"))))</f>
        <v/>
      </c>
      <c r="K29" s="8" t="n"/>
      <c r="L29" s="8" t="n"/>
      <c r="M29" s="8" t="n"/>
      <c r="N29" s="8" t="n"/>
      <c r="O29" s="8" t="n"/>
      <c r="P29" s="8" t="n"/>
      <c r="Q29" s="9">
        <f>IF(OR(O29="",P29=""),"",O29*P29)</f>
        <v/>
      </c>
      <c r="R29" s="8" t="n"/>
      <c r="S29" s="8" t="n"/>
      <c r="T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9">
        <f>IF(OR(G30="",H30=""),"",G30*H30)</f>
        <v/>
      </c>
      <c r="J30" s="10">
        <f>IF(I30="","",IF(I30&gt;=16,"Critical",IF(I30&gt;=10,"High",IF(I30&gt;=5,"Medium","Low"))))</f>
        <v/>
      </c>
      <c r="K30" s="8" t="n"/>
      <c r="L30" s="8" t="n"/>
      <c r="M30" s="8" t="n"/>
      <c r="N30" s="8" t="n"/>
      <c r="O30" s="8" t="n"/>
      <c r="P30" s="8" t="n"/>
      <c r="Q30" s="9">
        <f>IF(OR(O30="",P30=""),"",O30*P30)</f>
        <v/>
      </c>
      <c r="R30" s="8" t="n"/>
      <c r="S30" s="8" t="n"/>
      <c r="T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9">
        <f>IF(OR(G31="",H31=""),"",G31*H31)</f>
        <v/>
      </c>
      <c r="J31" s="10">
        <f>IF(I31="","",IF(I31&gt;=16,"Critical",IF(I31&gt;=10,"High",IF(I31&gt;=5,"Medium","Low"))))</f>
        <v/>
      </c>
      <c r="K31" s="8" t="n"/>
      <c r="L31" s="8" t="n"/>
      <c r="M31" s="8" t="n"/>
      <c r="N31" s="8" t="n"/>
      <c r="O31" s="8" t="n"/>
      <c r="P31" s="8" t="n"/>
      <c r="Q31" s="9">
        <f>IF(OR(O31="",P31=""),"",O31*P31)</f>
        <v/>
      </c>
      <c r="R31" s="8" t="n"/>
      <c r="S31" s="8" t="n"/>
      <c r="T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9">
        <f>IF(OR(G32="",H32=""),"",G32*H32)</f>
        <v/>
      </c>
      <c r="J32" s="10">
        <f>IF(I32="","",IF(I32&gt;=16,"Critical",IF(I32&gt;=10,"High",IF(I32&gt;=5,"Medium","Low"))))</f>
        <v/>
      </c>
      <c r="K32" s="8" t="n"/>
      <c r="L32" s="8" t="n"/>
      <c r="M32" s="8" t="n"/>
      <c r="N32" s="8" t="n"/>
      <c r="O32" s="8" t="n"/>
      <c r="P32" s="8" t="n"/>
      <c r="Q32" s="9">
        <f>IF(OR(O32="",P32=""),"",O32*P32)</f>
        <v/>
      </c>
      <c r="R32" s="8" t="n"/>
      <c r="S32" s="8" t="n"/>
      <c r="T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9">
        <f>IF(OR(G33="",H33=""),"",G33*H33)</f>
        <v/>
      </c>
      <c r="J33" s="10">
        <f>IF(I33="","",IF(I33&gt;=16,"Critical",IF(I33&gt;=10,"High",IF(I33&gt;=5,"Medium","Low"))))</f>
        <v/>
      </c>
      <c r="K33" s="8" t="n"/>
      <c r="L33" s="8" t="n"/>
      <c r="M33" s="8" t="n"/>
      <c r="N33" s="8" t="n"/>
      <c r="O33" s="8" t="n"/>
      <c r="P33" s="8" t="n"/>
      <c r="Q33" s="9">
        <f>IF(OR(O33="",P33=""),"",O33*P33)</f>
        <v/>
      </c>
      <c r="R33" s="8" t="n"/>
      <c r="S33" s="8" t="n"/>
      <c r="T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9">
        <f>IF(OR(G34="",H34=""),"",G34*H34)</f>
        <v/>
      </c>
      <c r="J34" s="10">
        <f>IF(I34="","",IF(I34&gt;=16,"Critical",IF(I34&gt;=10,"High",IF(I34&gt;=5,"Medium","Low"))))</f>
        <v/>
      </c>
      <c r="K34" s="8" t="n"/>
      <c r="L34" s="8" t="n"/>
      <c r="M34" s="8" t="n"/>
      <c r="N34" s="8" t="n"/>
      <c r="O34" s="8" t="n"/>
      <c r="P34" s="8" t="n"/>
      <c r="Q34" s="9">
        <f>IF(OR(O34="",P34=""),"",O34*P34)</f>
        <v/>
      </c>
      <c r="R34" s="8" t="n"/>
      <c r="S34" s="8" t="n"/>
      <c r="T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9">
        <f>IF(OR(G35="",H35=""),"",G35*H35)</f>
        <v/>
      </c>
      <c r="J35" s="10">
        <f>IF(I35="","",IF(I35&gt;=16,"Critical",IF(I35&gt;=10,"High",IF(I35&gt;=5,"Medium","Low"))))</f>
        <v/>
      </c>
      <c r="K35" s="8" t="n"/>
      <c r="L35" s="8" t="n"/>
      <c r="M35" s="8" t="n"/>
      <c r="N35" s="8" t="n"/>
      <c r="O35" s="8" t="n"/>
      <c r="P35" s="8" t="n"/>
      <c r="Q35" s="9">
        <f>IF(OR(O35="",P35=""),"",O35*P35)</f>
        <v/>
      </c>
      <c r="R35" s="8" t="n"/>
      <c r="S35" s="8" t="n"/>
      <c r="T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9">
        <f>IF(OR(G36="",H36=""),"",G36*H36)</f>
        <v/>
      </c>
      <c r="J36" s="10">
        <f>IF(I36="","",IF(I36&gt;=16,"Critical",IF(I36&gt;=10,"High",IF(I36&gt;=5,"Medium","Low"))))</f>
        <v/>
      </c>
      <c r="K36" s="8" t="n"/>
      <c r="L36" s="8" t="n"/>
      <c r="M36" s="8" t="n"/>
      <c r="N36" s="8" t="n"/>
      <c r="O36" s="8" t="n"/>
      <c r="P36" s="8" t="n"/>
      <c r="Q36" s="9">
        <f>IF(OR(O36="",P36=""),"",O36*P36)</f>
        <v/>
      </c>
      <c r="R36" s="8" t="n"/>
      <c r="S36" s="8" t="n"/>
      <c r="T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9">
        <f>IF(OR(G37="",H37=""),"",G37*H37)</f>
        <v/>
      </c>
      <c r="J37" s="10">
        <f>IF(I37="","",IF(I37&gt;=16,"Critical",IF(I37&gt;=10,"High",IF(I37&gt;=5,"Medium","Low"))))</f>
        <v/>
      </c>
      <c r="K37" s="8" t="n"/>
      <c r="L37" s="8" t="n"/>
      <c r="M37" s="8" t="n"/>
      <c r="N37" s="8" t="n"/>
      <c r="O37" s="8" t="n"/>
      <c r="P37" s="8" t="n"/>
      <c r="Q37" s="9">
        <f>IF(OR(O37="",P37=""),"",O37*P37)</f>
        <v/>
      </c>
      <c r="R37" s="8" t="n"/>
      <c r="S37" s="8" t="n"/>
      <c r="T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9">
        <f>IF(OR(G38="",H38=""),"",G38*H38)</f>
        <v/>
      </c>
      <c r="J38" s="10">
        <f>IF(I38="","",IF(I38&gt;=16,"Critical",IF(I38&gt;=10,"High",IF(I38&gt;=5,"Medium","Low"))))</f>
        <v/>
      </c>
      <c r="K38" s="8" t="n"/>
      <c r="L38" s="8" t="n"/>
      <c r="M38" s="8" t="n"/>
      <c r="N38" s="8" t="n"/>
      <c r="O38" s="8" t="n"/>
      <c r="P38" s="8" t="n"/>
      <c r="Q38" s="9">
        <f>IF(OR(O38="",P38=""),"",O38*P38)</f>
        <v/>
      </c>
      <c r="R38" s="8" t="n"/>
      <c r="S38" s="8" t="n"/>
      <c r="T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9">
        <f>IF(OR(G39="",H39=""),"",G39*H39)</f>
        <v/>
      </c>
      <c r="J39" s="10">
        <f>IF(I39="","",IF(I39&gt;=16,"Critical",IF(I39&gt;=10,"High",IF(I39&gt;=5,"Medium","Low"))))</f>
        <v/>
      </c>
      <c r="K39" s="8" t="n"/>
      <c r="L39" s="8" t="n"/>
      <c r="M39" s="8" t="n"/>
      <c r="N39" s="8" t="n"/>
      <c r="O39" s="8" t="n"/>
      <c r="P39" s="8" t="n"/>
      <c r="Q39" s="9">
        <f>IF(OR(O39="",P39=""),"",O39*P39)</f>
        <v/>
      </c>
      <c r="R39" s="8" t="n"/>
      <c r="S39" s="8" t="n"/>
      <c r="T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9">
        <f>IF(OR(G40="",H40=""),"",G40*H40)</f>
        <v/>
      </c>
      <c r="J40" s="10">
        <f>IF(I40="","",IF(I40&gt;=16,"Critical",IF(I40&gt;=10,"High",IF(I40&gt;=5,"Medium","Low"))))</f>
        <v/>
      </c>
      <c r="K40" s="8" t="n"/>
      <c r="L40" s="8" t="n"/>
      <c r="M40" s="8" t="n"/>
      <c r="N40" s="8" t="n"/>
      <c r="O40" s="8" t="n"/>
      <c r="P40" s="8" t="n"/>
      <c r="Q40" s="9">
        <f>IF(OR(O40="",P40=""),"",O40*P40)</f>
        <v/>
      </c>
      <c r="R40" s="8" t="n"/>
      <c r="S40" s="8" t="n"/>
      <c r="T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9">
        <f>IF(OR(G41="",H41=""),"",G41*H41)</f>
        <v/>
      </c>
      <c r="J41" s="10">
        <f>IF(I41="","",IF(I41&gt;=16,"Critical",IF(I41&gt;=10,"High",IF(I41&gt;=5,"Medium","Low"))))</f>
        <v/>
      </c>
      <c r="K41" s="8" t="n"/>
      <c r="L41" s="8" t="n"/>
      <c r="M41" s="8" t="n"/>
      <c r="N41" s="8" t="n"/>
      <c r="O41" s="8" t="n"/>
      <c r="P41" s="8" t="n"/>
      <c r="Q41" s="9">
        <f>IF(OR(O41="",P41=""),"",O41*P41)</f>
        <v/>
      </c>
      <c r="R41" s="8" t="n"/>
      <c r="S41" s="8" t="n"/>
      <c r="T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9">
        <f>IF(OR(G42="",H42=""),"",G42*H42)</f>
        <v/>
      </c>
      <c r="J42" s="10">
        <f>IF(I42="","",IF(I42&gt;=16,"Critical",IF(I42&gt;=10,"High",IF(I42&gt;=5,"Medium","Low"))))</f>
        <v/>
      </c>
      <c r="K42" s="8" t="n"/>
      <c r="L42" s="8" t="n"/>
      <c r="M42" s="8" t="n"/>
      <c r="N42" s="8" t="n"/>
      <c r="O42" s="8" t="n"/>
      <c r="P42" s="8" t="n"/>
      <c r="Q42" s="9">
        <f>IF(OR(O42="",P42=""),"",O42*P42)</f>
        <v/>
      </c>
      <c r="R42" s="8" t="n"/>
      <c r="S42" s="8" t="n"/>
      <c r="T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9">
        <f>IF(OR(G43="",H43=""),"",G43*H43)</f>
        <v/>
      </c>
      <c r="J43" s="10">
        <f>IF(I43="","",IF(I43&gt;=16,"Critical",IF(I43&gt;=10,"High",IF(I43&gt;=5,"Medium","Low"))))</f>
        <v/>
      </c>
      <c r="K43" s="8" t="n"/>
      <c r="L43" s="8" t="n"/>
      <c r="M43" s="8" t="n"/>
      <c r="N43" s="8" t="n"/>
      <c r="O43" s="8" t="n"/>
      <c r="P43" s="8" t="n"/>
      <c r="Q43" s="9">
        <f>IF(OR(O43="",P43=""),"",O43*P43)</f>
        <v/>
      </c>
      <c r="R43" s="8" t="n"/>
      <c r="S43" s="8" t="n"/>
      <c r="T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9">
        <f>IF(OR(G44="",H44=""),"",G44*H44)</f>
        <v/>
      </c>
      <c r="J44" s="10">
        <f>IF(I44="","",IF(I44&gt;=16,"Critical",IF(I44&gt;=10,"High",IF(I44&gt;=5,"Medium","Low"))))</f>
        <v/>
      </c>
      <c r="K44" s="8" t="n"/>
      <c r="L44" s="8" t="n"/>
      <c r="M44" s="8" t="n"/>
      <c r="N44" s="8" t="n"/>
      <c r="O44" s="8" t="n"/>
      <c r="P44" s="8" t="n"/>
      <c r="Q44" s="9">
        <f>IF(OR(O44="",P44=""),"",O44*P44)</f>
        <v/>
      </c>
      <c r="R44" s="8" t="n"/>
      <c r="S44" s="8" t="n"/>
      <c r="T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9">
        <f>IF(OR(G45="",H45=""),"",G45*H45)</f>
        <v/>
      </c>
      <c r="J45" s="10">
        <f>IF(I45="","",IF(I45&gt;=16,"Critical",IF(I45&gt;=10,"High",IF(I45&gt;=5,"Medium","Low"))))</f>
        <v/>
      </c>
      <c r="K45" s="8" t="n"/>
      <c r="L45" s="8" t="n"/>
      <c r="M45" s="8" t="n"/>
      <c r="N45" s="8" t="n"/>
      <c r="O45" s="8" t="n"/>
      <c r="P45" s="8" t="n"/>
      <c r="Q45" s="9">
        <f>IF(OR(O45="",P45=""),"",O45*P45)</f>
        <v/>
      </c>
      <c r="R45" s="8" t="n"/>
      <c r="S45" s="8" t="n"/>
      <c r="T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9">
        <f>IF(OR(G46="",H46=""),"",G46*H46)</f>
        <v/>
      </c>
      <c r="J46" s="10">
        <f>IF(I46="","",IF(I46&gt;=16,"Critical",IF(I46&gt;=10,"High",IF(I46&gt;=5,"Medium","Low"))))</f>
        <v/>
      </c>
      <c r="K46" s="8" t="n"/>
      <c r="L46" s="8" t="n"/>
      <c r="M46" s="8" t="n"/>
      <c r="N46" s="8" t="n"/>
      <c r="O46" s="8" t="n"/>
      <c r="P46" s="8" t="n"/>
      <c r="Q46" s="9">
        <f>IF(OR(O46="",P46=""),"",O46*P46)</f>
        <v/>
      </c>
      <c r="R46" s="8" t="n"/>
      <c r="S46" s="8" t="n"/>
      <c r="T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9">
        <f>IF(OR(G47="",H47=""),"",G47*H47)</f>
        <v/>
      </c>
      <c r="J47" s="10">
        <f>IF(I47="","",IF(I47&gt;=16,"Critical",IF(I47&gt;=10,"High",IF(I47&gt;=5,"Medium","Low"))))</f>
        <v/>
      </c>
      <c r="K47" s="8" t="n"/>
      <c r="L47" s="8" t="n"/>
      <c r="M47" s="8" t="n"/>
      <c r="N47" s="8" t="n"/>
      <c r="O47" s="8" t="n"/>
      <c r="P47" s="8" t="n"/>
      <c r="Q47" s="9">
        <f>IF(OR(O47="",P47=""),"",O47*P47)</f>
        <v/>
      </c>
      <c r="R47" s="8" t="n"/>
      <c r="S47" s="8" t="n"/>
      <c r="T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9">
        <f>IF(OR(G48="",H48=""),"",G48*H48)</f>
        <v/>
      </c>
      <c r="J48" s="10">
        <f>IF(I48="","",IF(I48&gt;=16,"Critical",IF(I48&gt;=10,"High",IF(I48&gt;=5,"Medium","Low"))))</f>
        <v/>
      </c>
      <c r="K48" s="8" t="n"/>
      <c r="L48" s="8" t="n"/>
      <c r="M48" s="8" t="n"/>
      <c r="N48" s="8" t="n"/>
      <c r="O48" s="8" t="n"/>
      <c r="P48" s="8" t="n"/>
      <c r="Q48" s="9">
        <f>IF(OR(O48="",P48=""),"",O48*P48)</f>
        <v/>
      </c>
      <c r="R48" s="8" t="n"/>
      <c r="S48" s="8" t="n"/>
      <c r="T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9">
        <f>IF(OR(G49="",H49=""),"",G49*H49)</f>
        <v/>
      </c>
      <c r="J49" s="10">
        <f>IF(I49="","",IF(I49&gt;=16,"Critical",IF(I49&gt;=10,"High",IF(I49&gt;=5,"Medium","Low"))))</f>
        <v/>
      </c>
      <c r="K49" s="8" t="n"/>
      <c r="L49" s="8" t="n"/>
      <c r="M49" s="8" t="n"/>
      <c r="N49" s="8" t="n"/>
      <c r="O49" s="8" t="n"/>
      <c r="P49" s="8" t="n"/>
      <c r="Q49" s="9">
        <f>IF(OR(O49="",P49=""),"",O49*P49)</f>
        <v/>
      </c>
      <c r="R49" s="8" t="n"/>
      <c r="S49" s="8" t="n"/>
      <c r="T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9">
        <f>IF(OR(G50="",H50=""),"",G50*H50)</f>
        <v/>
      </c>
      <c r="J50" s="10">
        <f>IF(I50="","",IF(I50&gt;=16,"Critical",IF(I50&gt;=10,"High",IF(I50&gt;=5,"Medium","Low"))))</f>
        <v/>
      </c>
      <c r="K50" s="8" t="n"/>
      <c r="L50" s="8" t="n"/>
      <c r="M50" s="8" t="n"/>
      <c r="N50" s="8" t="n"/>
      <c r="O50" s="8" t="n"/>
      <c r="P50" s="8" t="n"/>
      <c r="Q50" s="9">
        <f>IF(OR(O50="",P50=""),"",O50*P50)</f>
        <v/>
      </c>
      <c r="R50" s="8" t="n"/>
      <c r="S50" s="8" t="n"/>
      <c r="T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9">
        <f>IF(OR(G51="",H51=""),"",G51*H51)</f>
        <v/>
      </c>
      <c r="J51" s="10">
        <f>IF(I51="","",IF(I51&gt;=16,"Critical",IF(I51&gt;=10,"High",IF(I51&gt;=5,"Medium","Low"))))</f>
        <v/>
      </c>
      <c r="K51" s="8" t="n"/>
      <c r="L51" s="8" t="n"/>
      <c r="M51" s="8" t="n"/>
      <c r="N51" s="8" t="n"/>
      <c r="O51" s="8" t="n"/>
      <c r="P51" s="8" t="n"/>
      <c r="Q51" s="9">
        <f>IF(OR(O51="",P51=""),"",O51*P51)</f>
        <v/>
      </c>
      <c r="R51" s="8" t="n"/>
      <c r="S51" s="8" t="n"/>
      <c r="T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9">
        <f>IF(OR(G52="",H52=""),"",G52*H52)</f>
        <v/>
      </c>
      <c r="J52" s="10">
        <f>IF(I52="","",IF(I52&gt;=16,"Critical",IF(I52&gt;=10,"High",IF(I52&gt;=5,"Medium","Low"))))</f>
        <v/>
      </c>
      <c r="K52" s="8" t="n"/>
      <c r="L52" s="8" t="n"/>
      <c r="M52" s="8" t="n"/>
      <c r="N52" s="8" t="n"/>
      <c r="O52" s="8" t="n"/>
      <c r="P52" s="8" t="n"/>
      <c r="Q52" s="9">
        <f>IF(OR(O52="",P52=""),"",O52*P52)</f>
        <v/>
      </c>
      <c r="R52" s="8" t="n"/>
      <c r="S52" s="8" t="n"/>
      <c r="T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9">
        <f>IF(OR(G53="",H53=""),"",G53*H53)</f>
        <v/>
      </c>
      <c r="J53" s="10">
        <f>IF(I53="","",IF(I53&gt;=16,"Critical",IF(I53&gt;=10,"High",IF(I53&gt;=5,"Medium","Low"))))</f>
        <v/>
      </c>
      <c r="K53" s="8" t="n"/>
      <c r="L53" s="8" t="n"/>
      <c r="M53" s="8" t="n"/>
      <c r="N53" s="8" t="n"/>
      <c r="O53" s="8" t="n"/>
      <c r="P53" s="8" t="n"/>
      <c r="Q53" s="9">
        <f>IF(OR(O53="",P53=""),"",O53*P53)</f>
        <v/>
      </c>
      <c r="R53" s="8" t="n"/>
      <c r="S53" s="8" t="n"/>
      <c r="T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9">
        <f>IF(OR(G54="",H54=""),"",G54*H54)</f>
        <v/>
      </c>
      <c r="J54" s="10">
        <f>IF(I54="","",IF(I54&gt;=16,"Critical",IF(I54&gt;=10,"High",IF(I54&gt;=5,"Medium","Low"))))</f>
        <v/>
      </c>
      <c r="K54" s="8" t="n"/>
      <c r="L54" s="8" t="n"/>
      <c r="M54" s="8" t="n"/>
      <c r="N54" s="8" t="n"/>
      <c r="O54" s="8" t="n"/>
      <c r="P54" s="8" t="n"/>
      <c r="Q54" s="9">
        <f>IF(OR(O54="",P54=""),"",O54*P54)</f>
        <v/>
      </c>
      <c r="R54" s="8" t="n"/>
      <c r="S54" s="8" t="n"/>
      <c r="T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9">
        <f>IF(OR(G55="",H55=""),"",G55*H55)</f>
        <v/>
      </c>
      <c r="J55" s="10">
        <f>IF(I55="","",IF(I55&gt;=16,"Critical",IF(I55&gt;=10,"High",IF(I55&gt;=5,"Medium","Low"))))</f>
        <v/>
      </c>
      <c r="K55" s="8" t="n"/>
      <c r="L55" s="8" t="n"/>
      <c r="M55" s="8" t="n"/>
      <c r="N55" s="8" t="n"/>
      <c r="O55" s="8" t="n"/>
      <c r="P55" s="8" t="n"/>
      <c r="Q55" s="9">
        <f>IF(OR(O55="",P55=""),"",O55*P55)</f>
        <v/>
      </c>
      <c r="R55" s="8" t="n"/>
      <c r="S55" s="8" t="n"/>
      <c r="T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9">
        <f>IF(OR(G56="",H56=""),"",G56*H56)</f>
        <v/>
      </c>
      <c r="J56" s="10">
        <f>IF(I56="","",IF(I56&gt;=16,"Critical",IF(I56&gt;=10,"High",IF(I56&gt;=5,"Medium","Low"))))</f>
        <v/>
      </c>
      <c r="K56" s="8" t="n"/>
      <c r="L56" s="8" t="n"/>
      <c r="M56" s="8" t="n"/>
      <c r="N56" s="8" t="n"/>
      <c r="O56" s="8" t="n"/>
      <c r="P56" s="8" t="n"/>
      <c r="Q56" s="9">
        <f>IF(OR(O56="",P56=""),"",O56*P56)</f>
        <v/>
      </c>
      <c r="R56" s="8" t="n"/>
      <c r="S56" s="8" t="n"/>
      <c r="T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9">
        <f>IF(OR(G57="",H57=""),"",G57*H57)</f>
        <v/>
      </c>
      <c r="J57" s="10">
        <f>IF(I57="","",IF(I57&gt;=16,"Critical",IF(I57&gt;=10,"High",IF(I57&gt;=5,"Medium","Low"))))</f>
        <v/>
      </c>
      <c r="K57" s="8" t="n"/>
      <c r="L57" s="8" t="n"/>
      <c r="M57" s="8" t="n"/>
      <c r="N57" s="8" t="n"/>
      <c r="O57" s="8" t="n"/>
      <c r="P57" s="8" t="n"/>
      <c r="Q57" s="9">
        <f>IF(OR(O57="",P57=""),"",O57*P57)</f>
        <v/>
      </c>
      <c r="R57" s="8" t="n"/>
      <c r="S57" s="8" t="n"/>
      <c r="T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9">
        <f>IF(OR(G58="",H58=""),"",G58*H58)</f>
        <v/>
      </c>
      <c r="J58" s="10">
        <f>IF(I58="","",IF(I58&gt;=16,"Critical",IF(I58&gt;=10,"High",IF(I58&gt;=5,"Medium","Low"))))</f>
        <v/>
      </c>
      <c r="K58" s="8" t="n"/>
      <c r="L58" s="8" t="n"/>
      <c r="M58" s="8" t="n"/>
      <c r="N58" s="8" t="n"/>
      <c r="O58" s="8" t="n"/>
      <c r="P58" s="8" t="n"/>
      <c r="Q58" s="9">
        <f>IF(OR(O58="",P58=""),"",O58*P58)</f>
        <v/>
      </c>
      <c r="R58" s="8" t="n"/>
      <c r="S58" s="8" t="n"/>
      <c r="T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9">
        <f>IF(OR(G59="",H59=""),"",G59*H59)</f>
        <v/>
      </c>
      <c r="J59" s="10">
        <f>IF(I59="","",IF(I59&gt;=16,"Critical",IF(I59&gt;=10,"High",IF(I59&gt;=5,"Medium","Low"))))</f>
        <v/>
      </c>
      <c r="K59" s="8" t="n"/>
      <c r="L59" s="8" t="n"/>
      <c r="M59" s="8" t="n"/>
      <c r="N59" s="8" t="n"/>
      <c r="O59" s="8" t="n"/>
      <c r="P59" s="8" t="n"/>
      <c r="Q59" s="9">
        <f>IF(OR(O59="",P59=""),"",O59*P59)</f>
        <v/>
      </c>
      <c r="R59" s="8" t="n"/>
      <c r="S59" s="8" t="n"/>
      <c r="T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9">
        <f>IF(OR(G60="",H60=""),"",G60*H60)</f>
        <v/>
      </c>
      <c r="J60" s="10">
        <f>IF(I60="","",IF(I60&gt;=16,"Critical",IF(I60&gt;=10,"High",IF(I60&gt;=5,"Medium","Low"))))</f>
        <v/>
      </c>
      <c r="K60" s="8" t="n"/>
      <c r="L60" s="8" t="n"/>
      <c r="M60" s="8" t="n"/>
      <c r="N60" s="8" t="n"/>
      <c r="O60" s="8" t="n"/>
      <c r="P60" s="8" t="n"/>
      <c r="Q60" s="9">
        <f>IF(OR(O60="",P60=""),"",O60*P60)</f>
        <v/>
      </c>
      <c r="R60" s="8" t="n"/>
      <c r="S60" s="8" t="n"/>
      <c r="T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9">
        <f>IF(OR(G61="",H61=""),"",G61*H61)</f>
        <v/>
      </c>
      <c r="J61" s="10">
        <f>IF(I61="","",IF(I61&gt;=16,"Critical",IF(I61&gt;=10,"High",IF(I61&gt;=5,"Medium","Low"))))</f>
        <v/>
      </c>
      <c r="K61" s="8" t="n"/>
      <c r="L61" s="8" t="n"/>
      <c r="M61" s="8" t="n"/>
      <c r="N61" s="8" t="n"/>
      <c r="O61" s="8" t="n"/>
      <c r="P61" s="8" t="n"/>
      <c r="Q61" s="9">
        <f>IF(OR(O61="",P61=""),"",O61*P61)</f>
        <v/>
      </c>
      <c r="R61" s="8" t="n"/>
      <c r="S61" s="8" t="n"/>
      <c r="T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9">
        <f>IF(OR(G62="",H62=""),"",G62*H62)</f>
        <v/>
      </c>
      <c r="J62" s="10">
        <f>IF(I62="","",IF(I62&gt;=16,"Critical",IF(I62&gt;=10,"High",IF(I62&gt;=5,"Medium","Low"))))</f>
        <v/>
      </c>
      <c r="K62" s="8" t="n"/>
      <c r="L62" s="8" t="n"/>
      <c r="M62" s="8" t="n"/>
      <c r="N62" s="8" t="n"/>
      <c r="O62" s="8" t="n"/>
      <c r="P62" s="8" t="n"/>
      <c r="Q62" s="9">
        <f>IF(OR(O62="",P62=""),"",O62*P62)</f>
        <v/>
      </c>
      <c r="R62" s="8" t="n"/>
      <c r="S62" s="8" t="n"/>
      <c r="T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9">
        <f>IF(OR(G63="",H63=""),"",G63*H63)</f>
        <v/>
      </c>
      <c r="J63" s="10">
        <f>IF(I63="","",IF(I63&gt;=16,"Critical",IF(I63&gt;=10,"High",IF(I63&gt;=5,"Medium","Low"))))</f>
        <v/>
      </c>
      <c r="K63" s="8" t="n"/>
      <c r="L63" s="8" t="n"/>
      <c r="M63" s="8" t="n"/>
      <c r="N63" s="8" t="n"/>
      <c r="O63" s="8" t="n"/>
      <c r="P63" s="8" t="n"/>
      <c r="Q63" s="9">
        <f>IF(OR(O63="",P63=""),"",O63*P63)</f>
        <v/>
      </c>
      <c r="R63" s="8" t="n"/>
      <c r="S63" s="8" t="n"/>
      <c r="T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9">
        <f>IF(OR(G64="",H64=""),"",G64*H64)</f>
        <v/>
      </c>
      <c r="J64" s="10">
        <f>IF(I64="","",IF(I64&gt;=16,"Critical",IF(I64&gt;=10,"High",IF(I64&gt;=5,"Medium","Low"))))</f>
        <v/>
      </c>
      <c r="K64" s="8" t="n"/>
      <c r="L64" s="8" t="n"/>
      <c r="M64" s="8" t="n"/>
      <c r="N64" s="8" t="n"/>
      <c r="O64" s="8" t="n"/>
      <c r="P64" s="8" t="n"/>
      <c r="Q64" s="9">
        <f>IF(OR(O64="",P64=""),"",O64*P64)</f>
        <v/>
      </c>
      <c r="R64" s="8" t="n"/>
      <c r="S64" s="8" t="n"/>
      <c r="T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9">
        <f>IF(OR(G65="",H65=""),"",G65*H65)</f>
        <v/>
      </c>
      <c r="J65" s="10">
        <f>IF(I65="","",IF(I65&gt;=16,"Critical",IF(I65&gt;=10,"High",IF(I65&gt;=5,"Medium","Low"))))</f>
        <v/>
      </c>
      <c r="K65" s="8" t="n"/>
      <c r="L65" s="8" t="n"/>
      <c r="M65" s="8" t="n"/>
      <c r="N65" s="8" t="n"/>
      <c r="O65" s="8" t="n"/>
      <c r="P65" s="8" t="n"/>
      <c r="Q65" s="9">
        <f>IF(OR(O65="",P65=""),"",O65*P65)</f>
        <v/>
      </c>
      <c r="R65" s="8" t="n"/>
      <c r="S65" s="8" t="n"/>
      <c r="T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9">
        <f>IF(OR(G66="",H66=""),"",G66*H66)</f>
        <v/>
      </c>
      <c r="J66" s="10">
        <f>IF(I66="","",IF(I66&gt;=16,"Critical",IF(I66&gt;=10,"High",IF(I66&gt;=5,"Medium","Low"))))</f>
        <v/>
      </c>
      <c r="K66" s="8" t="n"/>
      <c r="L66" s="8" t="n"/>
      <c r="M66" s="8" t="n"/>
      <c r="N66" s="8" t="n"/>
      <c r="O66" s="8" t="n"/>
      <c r="P66" s="8" t="n"/>
      <c r="Q66" s="9">
        <f>IF(OR(O66="",P66=""),"",O66*P66)</f>
        <v/>
      </c>
      <c r="R66" s="8" t="n"/>
      <c r="S66" s="8" t="n"/>
      <c r="T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9">
        <f>IF(OR(G67="",H67=""),"",G67*H67)</f>
        <v/>
      </c>
      <c r="J67" s="10">
        <f>IF(I67="","",IF(I67&gt;=16,"Critical",IF(I67&gt;=10,"High",IF(I67&gt;=5,"Medium","Low"))))</f>
        <v/>
      </c>
      <c r="K67" s="8" t="n"/>
      <c r="L67" s="8" t="n"/>
      <c r="M67" s="8" t="n"/>
      <c r="N67" s="8" t="n"/>
      <c r="O67" s="8" t="n"/>
      <c r="P67" s="8" t="n"/>
      <c r="Q67" s="9">
        <f>IF(OR(O67="",P67=""),"",O67*P67)</f>
        <v/>
      </c>
      <c r="R67" s="8" t="n"/>
      <c r="S67" s="8" t="n"/>
      <c r="T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9">
        <f>IF(OR(G68="",H68=""),"",G68*H68)</f>
        <v/>
      </c>
      <c r="J68" s="10">
        <f>IF(I68="","",IF(I68&gt;=16,"Critical",IF(I68&gt;=10,"High",IF(I68&gt;=5,"Medium","Low"))))</f>
        <v/>
      </c>
      <c r="K68" s="8" t="n"/>
      <c r="L68" s="8" t="n"/>
      <c r="M68" s="8" t="n"/>
      <c r="N68" s="8" t="n"/>
      <c r="O68" s="8" t="n"/>
      <c r="P68" s="8" t="n"/>
      <c r="Q68" s="9">
        <f>IF(OR(O68="",P68=""),"",O68*P68)</f>
        <v/>
      </c>
      <c r="R68" s="8" t="n"/>
      <c r="S68" s="8" t="n"/>
      <c r="T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9">
        <f>IF(OR(G69="",H69=""),"",G69*H69)</f>
        <v/>
      </c>
      <c r="J69" s="10">
        <f>IF(I69="","",IF(I69&gt;=16,"Critical",IF(I69&gt;=10,"High",IF(I69&gt;=5,"Medium","Low"))))</f>
        <v/>
      </c>
      <c r="K69" s="8" t="n"/>
      <c r="L69" s="8" t="n"/>
      <c r="M69" s="8" t="n"/>
      <c r="N69" s="8" t="n"/>
      <c r="O69" s="8" t="n"/>
      <c r="P69" s="8" t="n"/>
      <c r="Q69" s="9">
        <f>IF(OR(O69="",P69=""),"",O69*P69)</f>
        <v/>
      </c>
      <c r="R69" s="8" t="n"/>
      <c r="S69" s="8" t="n"/>
      <c r="T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9">
        <f>IF(OR(G70="",H70=""),"",G70*H70)</f>
        <v/>
      </c>
      <c r="J70" s="10">
        <f>IF(I70="","",IF(I70&gt;=16,"Critical",IF(I70&gt;=10,"High",IF(I70&gt;=5,"Medium","Low"))))</f>
        <v/>
      </c>
      <c r="K70" s="8" t="n"/>
      <c r="L70" s="8" t="n"/>
      <c r="M70" s="8" t="n"/>
      <c r="N70" s="8" t="n"/>
      <c r="O70" s="8" t="n"/>
      <c r="P70" s="8" t="n"/>
      <c r="Q70" s="9">
        <f>IF(OR(O70="",P70=""),"",O70*P70)</f>
        <v/>
      </c>
      <c r="R70" s="8" t="n"/>
      <c r="S70" s="8" t="n"/>
      <c r="T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9">
        <f>IF(OR(G71="",H71=""),"",G71*H71)</f>
        <v/>
      </c>
      <c r="J71" s="10">
        <f>IF(I71="","",IF(I71&gt;=16,"Critical",IF(I71&gt;=10,"High",IF(I71&gt;=5,"Medium","Low"))))</f>
        <v/>
      </c>
      <c r="K71" s="8" t="n"/>
      <c r="L71" s="8" t="n"/>
      <c r="M71" s="8" t="n"/>
      <c r="N71" s="8" t="n"/>
      <c r="O71" s="8" t="n"/>
      <c r="P71" s="8" t="n"/>
      <c r="Q71" s="9">
        <f>IF(OR(O71="",P71=""),"",O71*P71)</f>
        <v/>
      </c>
      <c r="R71" s="8" t="n"/>
      <c r="S71" s="8" t="n"/>
      <c r="T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9">
        <f>IF(OR(G72="",H72=""),"",G72*H72)</f>
        <v/>
      </c>
      <c r="J72" s="10">
        <f>IF(I72="","",IF(I72&gt;=16,"Critical",IF(I72&gt;=10,"High",IF(I72&gt;=5,"Medium","Low"))))</f>
        <v/>
      </c>
      <c r="K72" s="8" t="n"/>
      <c r="L72" s="8" t="n"/>
      <c r="M72" s="8" t="n"/>
      <c r="N72" s="8" t="n"/>
      <c r="O72" s="8" t="n"/>
      <c r="P72" s="8" t="n"/>
      <c r="Q72" s="9">
        <f>IF(OR(O72="",P72=""),"",O72*P72)</f>
        <v/>
      </c>
      <c r="R72" s="8" t="n"/>
      <c r="S72" s="8" t="n"/>
      <c r="T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9">
        <f>IF(OR(G73="",H73=""),"",G73*H73)</f>
        <v/>
      </c>
      <c r="J73" s="10">
        <f>IF(I73="","",IF(I73&gt;=16,"Critical",IF(I73&gt;=10,"High",IF(I73&gt;=5,"Medium","Low"))))</f>
        <v/>
      </c>
      <c r="K73" s="8" t="n"/>
      <c r="L73" s="8" t="n"/>
      <c r="M73" s="8" t="n"/>
      <c r="N73" s="8" t="n"/>
      <c r="O73" s="8" t="n"/>
      <c r="P73" s="8" t="n"/>
      <c r="Q73" s="9">
        <f>IF(OR(O73="",P73=""),"",O73*P73)</f>
        <v/>
      </c>
      <c r="R73" s="8" t="n"/>
      <c r="S73" s="8" t="n"/>
      <c r="T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9">
        <f>IF(OR(G74="",H74=""),"",G74*H74)</f>
        <v/>
      </c>
      <c r="J74" s="10">
        <f>IF(I74="","",IF(I74&gt;=16,"Critical",IF(I74&gt;=10,"High",IF(I74&gt;=5,"Medium","Low"))))</f>
        <v/>
      </c>
      <c r="K74" s="8" t="n"/>
      <c r="L74" s="8" t="n"/>
      <c r="M74" s="8" t="n"/>
      <c r="N74" s="8" t="n"/>
      <c r="O74" s="8" t="n"/>
      <c r="P74" s="8" t="n"/>
      <c r="Q74" s="9">
        <f>IF(OR(O74="",P74=""),"",O74*P74)</f>
        <v/>
      </c>
      <c r="R74" s="8" t="n"/>
      <c r="S74" s="8" t="n"/>
      <c r="T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9">
        <f>IF(OR(G75="",H75=""),"",G75*H75)</f>
        <v/>
      </c>
      <c r="J75" s="10">
        <f>IF(I75="","",IF(I75&gt;=16,"Critical",IF(I75&gt;=10,"High",IF(I75&gt;=5,"Medium","Low"))))</f>
        <v/>
      </c>
      <c r="K75" s="8" t="n"/>
      <c r="L75" s="8" t="n"/>
      <c r="M75" s="8" t="n"/>
      <c r="N75" s="8" t="n"/>
      <c r="O75" s="8" t="n"/>
      <c r="P75" s="8" t="n"/>
      <c r="Q75" s="9">
        <f>IF(OR(O75="",P75=""),"",O75*P75)</f>
        <v/>
      </c>
      <c r="R75" s="8" t="n"/>
      <c r="S75" s="8" t="n"/>
      <c r="T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9">
        <f>IF(OR(G76="",H76=""),"",G76*H76)</f>
        <v/>
      </c>
      <c r="J76" s="10">
        <f>IF(I76="","",IF(I76&gt;=16,"Critical",IF(I76&gt;=10,"High",IF(I76&gt;=5,"Medium","Low"))))</f>
        <v/>
      </c>
      <c r="K76" s="8" t="n"/>
      <c r="L76" s="8" t="n"/>
      <c r="M76" s="8" t="n"/>
      <c r="N76" s="8" t="n"/>
      <c r="O76" s="8" t="n"/>
      <c r="P76" s="8" t="n"/>
      <c r="Q76" s="9">
        <f>IF(OR(O76="",P76=""),"",O76*P76)</f>
        <v/>
      </c>
      <c r="R76" s="8" t="n"/>
      <c r="S76" s="8" t="n"/>
      <c r="T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9">
        <f>IF(OR(G77="",H77=""),"",G77*H77)</f>
        <v/>
      </c>
      <c r="J77" s="10">
        <f>IF(I77="","",IF(I77&gt;=16,"Critical",IF(I77&gt;=10,"High",IF(I77&gt;=5,"Medium","Low"))))</f>
        <v/>
      </c>
      <c r="K77" s="8" t="n"/>
      <c r="L77" s="8" t="n"/>
      <c r="M77" s="8" t="n"/>
      <c r="N77" s="8" t="n"/>
      <c r="O77" s="8" t="n"/>
      <c r="P77" s="8" t="n"/>
      <c r="Q77" s="9">
        <f>IF(OR(O77="",P77=""),"",O77*P77)</f>
        <v/>
      </c>
      <c r="R77" s="8" t="n"/>
      <c r="S77" s="8" t="n"/>
      <c r="T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9">
        <f>IF(OR(G78="",H78=""),"",G78*H78)</f>
        <v/>
      </c>
      <c r="J78" s="10">
        <f>IF(I78="","",IF(I78&gt;=16,"Critical",IF(I78&gt;=10,"High",IF(I78&gt;=5,"Medium","Low"))))</f>
        <v/>
      </c>
      <c r="K78" s="8" t="n"/>
      <c r="L78" s="8" t="n"/>
      <c r="M78" s="8" t="n"/>
      <c r="N78" s="8" t="n"/>
      <c r="O78" s="8" t="n"/>
      <c r="P78" s="8" t="n"/>
      <c r="Q78" s="9">
        <f>IF(OR(O78="",P78=""),"",O78*P78)</f>
        <v/>
      </c>
      <c r="R78" s="8" t="n"/>
      <c r="S78" s="8" t="n"/>
      <c r="T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9">
        <f>IF(OR(G79="",H79=""),"",G79*H79)</f>
        <v/>
      </c>
      <c r="J79" s="10">
        <f>IF(I79="","",IF(I79&gt;=16,"Critical",IF(I79&gt;=10,"High",IF(I79&gt;=5,"Medium","Low"))))</f>
        <v/>
      </c>
      <c r="K79" s="8" t="n"/>
      <c r="L79" s="8" t="n"/>
      <c r="M79" s="8" t="n"/>
      <c r="N79" s="8" t="n"/>
      <c r="O79" s="8" t="n"/>
      <c r="P79" s="8" t="n"/>
      <c r="Q79" s="9">
        <f>IF(OR(O79="",P79=""),"",O79*P79)</f>
        <v/>
      </c>
      <c r="R79" s="8" t="n"/>
      <c r="S79" s="8" t="n"/>
      <c r="T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9">
        <f>IF(OR(G80="",H80=""),"",G80*H80)</f>
        <v/>
      </c>
      <c r="J80" s="10">
        <f>IF(I80="","",IF(I80&gt;=16,"Critical",IF(I80&gt;=10,"High",IF(I80&gt;=5,"Medium","Low"))))</f>
        <v/>
      </c>
      <c r="K80" s="8" t="n"/>
      <c r="L80" s="8" t="n"/>
      <c r="M80" s="8" t="n"/>
      <c r="N80" s="8" t="n"/>
      <c r="O80" s="8" t="n"/>
      <c r="P80" s="8" t="n"/>
      <c r="Q80" s="9">
        <f>IF(OR(O80="",P80=""),"",O80*P80)</f>
        <v/>
      </c>
      <c r="R80" s="8" t="n"/>
      <c r="S80" s="8" t="n"/>
      <c r="T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9">
        <f>IF(OR(G81="",H81=""),"",G81*H81)</f>
        <v/>
      </c>
      <c r="J81" s="10">
        <f>IF(I81="","",IF(I81&gt;=16,"Critical",IF(I81&gt;=10,"High",IF(I81&gt;=5,"Medium","Low"))))</f>
        <v/>
      </c>
      <c r="K81" s="8" t="n"/>
      <c r="L81" s="8" t="n"/>
      <c r="M81" s="8" t="n"/>
      <c r="N81" s="8" t="n"/>
      <c r="O81" s="8" t="n"/>
      <c r="P81" s="8" t="n"/>
      <c r="Q81" s="9">
        <f>IF(OR(O81="",P81=""),"",O81*P81)</f>
        <v/>
      </c>
      <c r="R81" s="8" t="n"/>
      <c r="S81" s="8" t="n"/>
      <c r="T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9">
        <f>IF(OR(G82="",H82=""),"",G82*H82)</f>
        <v/>
      </c>
      <c r="J82" s="10">
        <f>IF(I82="","",IF(I82&gt;=16,"Critical",IF(I82&gt;=10,"High",IF(I82&gt;=5,"Medium","Low"))))</f>
        <v/>
      </c>
      <c r="K82" s="8" t="n"/>
      <c r="L82" s="8" t="n"/>
      <c r="M82" s="8" t="n"/>
      <c r="N82" s="8" t="n"/>
      <c r="O82" s="8" t="n"/>
      <c r="P82" s="8" t="n"/>
      <c r="Q82" s="9">
        <f>IF(OR(O82="",P82=""),"",O82*P82)</f>
        <v/>
      </c>
      <c r="R82" s="8" t="n"/>
      <c r="S82" s="8" t="n"/>
      <c r="T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9">
        <f>IF(OR(G83="",H83=""),"",G83*H83)</f>
        <v/>
      </c>
      <c r="J83" s="10">
        <f>IF(I83="","",IF(I83&gt;=16,"Critical",IF(I83&gt;=10,"High",IF(I83&gt;=5,"Medium","Low"))))</f>
        <v/>
      </c>
      <c r="K83" s="8" t="n"/>
      <c r="L83" s="8" t="n"/>
      <c r="M83" s="8" t="n"/>
      <c r="N83" s="8" t="n"/>
      <c r="O83" s="8" t="n"/>
      <c r="P83" s="8" t="n"/>
      <c r="Q83" s="9">
        <f>IF(OR(O83="",P83=""),"",O83*P83)</f>
        <v/>
      </c>
      <c r="R83" s="8" t="n"/>
      <c r="S83" s="8" t="n"/>
      <c r="T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9">
        <f>IF(OR(G84="",H84=""),"",G84*H84)</f>
        <v/>
      </c>
      <c r="J84" s="10">
        <f>IF(I84="","",IF(I84&gt;=16,"Critical",IF(I84&gt;=10,"High",IF(I84&gt;=5,"Medium","Low"))))</f>
        <v/>
      </c>
      <c r="K84" s="8" t="n"/>
      <c r="L84" s="8" t="n"/>
      <c r="M84" s="8" t="n"/>
      <c r="N84" s="8" t="n"/>
      <c r="O84" s="8" t="n"/>
      <c r="P84" s="8" t="n"/>
      <c r="Q84" s="9">
        <f>IF(OR(O84="",P84=""),"",O84*P84)</f>
        <v/>
      </c>
      <c r="R84" s="8" t="n"/>
      <c r="S84" s="8" t="n"/>
      <c r="T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9">
        <f>IF(OR(G85="",H85=""),"",G85*H85)</f>
        <v/>
      </c>
      <c r="J85" s="10">
        <f>IF(I85="","",IF(I85&gt;=16,"Critical",IF(I85&gt;=10,"High",IF(I85&gt;=5,"Medium","Low"))))</f>
        <v/>
      </c>
      <c r="K85" s="8" t="n"/>
      <c r="L85" s="8" t="n"/>
      <c r="M85" s="8" t="n"/>
      <c r="N85" s="8" t="n"/>
      <c r="O85" s="8" t="n"/>
      <c r="P85" s="8" t="n"/>
      <c r="Q85" s="9">
        <f>IF(OR(O85="",P85=""),"",O85*P85)</f>
        <v/>
      </c>
      <c r="R85" s="8" t="n"/>
      <c r="S85" s="8" t="n"/>
      <c r="T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9">
        <f>IF(OR(G86="",H86=""),"",G86*H86)</f>
        <v/>
      </c>
      <c r="J86" s="10">
        <f>IF(I86="","",IF(I86&gt;=16,"Critical",IF(I86&gt;=10,"High",IF(I86&gt;=5,"Medium","Low"))))</f>
        <v/>
      </c>
      <c r="K86" s="8" t="n"/>
      <c r="L86" s="8" t="n"/>
      <c r="M86" s="8" t="n"/>
      <c r="N86" s="8" t="n"/>
      <c r="O86" s="8" t="n"/>
      <c r="P86" s="8" t="n"/>
      <c r="Q86" s="9">
        <f>IF(OR(O86="",P86=""),"",O86*P86)</f>
        <v/>
      </c>
      <c r="R86" s="8" t="n"/>
      <c r="S86" s="8" t="n"/>
      <c r="T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9">
        <f>IF(OR(G87="",H87=""),"",G87*H87)</f>
        <v/>
      </c>
      <c r="J87" s="10">
        <f>IF(I87="","",IF(I87&gt;=16,"Critical",IF(I87&gt;=10,"High",IF(I87&gt;=5,"Medium","Low"))))</f>
        <v/>
      </c>
      <c r="K87" s="8" t="n"/>
      <c r="L87" s="8" t="n"/>
      <c r="M87" s="8" t="n"/>
      <c r="N87" s="8" t="n"/>
      <c r="O87" s="8" t="n"/>
      <c r="P87" s="8" t="n"/>
      <c r="Q87" s="9">
        <f>IF(OR(O87="",P87=""),"",O87*P87)</f>
        <v/>
      </c>
      <c r="R87" s="8" t="n"/>
      <c r="S87" s="8" t="n"/>
      <c r="T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9">
        <f>IF(OR(G88="",H88=""),"",G88*H88)</f>
        <v/>
      </c>
      <c r="J88" s="10">
        <f>IF(I88="","",IF(I88&gt;=16,"Critical",IF(I88&gt;=10,"High",IF(I88&gt;=5,"Medium","Low"))))</f>
        <v/>
      </c>
      <c r="K88" s="8" t="n"/>
      <c r="L88" s="8" t="n"/>
      <c r="M88" s="8" t="n"/>
      <c r="N88" s="8" t="n"/>
      <c r="O88" s="8" t="n"/>
      <c r="P88" s="8" t="n"/>
      <c r="Q88" s="9">
        <f>IF(OR(O88="",P88=""),"",O88*P88)</f>
        <v/>
      </c>
      <c r="R88" s="8" t="n"/>
      <c r="S88" s="8" t="n"/>
      <c r="T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9">
        <f>IF(OR(G89="",H89=""),"",G89*H89)</f>
        <v/>
      </c>
      <c r="J89" s="10">
        <f>IF(I89="","",IF(I89&gt;=16,"Critical",IF(I89&gt;=10,"High",IF(I89&gt;=5,"Medium","Low"))))</f>
        <v/>
      </c>
      <c r="K89" s="8" t="n"/>
      <c r="L89" s="8" t="n"/>
      <c r="M89" s="8" t="n"/>
      <c r="N89" s="8" t="n"/>
      <c r="O89" s="8" t="n"/>
      <c r="P89" s="8" t="n"/>
      <c r="Q89" s="9">
        <f>IF(OR(O89="",P89=""),"",O89*P89)</f>
        <v/>
      </c>
      <c r="R89" s="8" t="n"/>
      <c r="S89" s="8" t="n"/>
      <c r="T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9">
        <f>IF(OR(G90="",H90=""),"",G90*H90)</f>
        <v/>
      </c>
      <c r="J90" s="10">
        <f>IF(I90="","",IF(I90&gt;=16,"Critical",IF(I90&gt;=10,"High",IF(I90&gt;=5,"Medium","Low"))))</f>
        <v/>
      </c>
      <c r="K90" s="8" t="n"/>
      <c r="L90" s="8" t="n"/>
      <c r="M90" s="8" t="n"/>
      <c r="N90" s="8" t="n"/>
      <c r="O90" s="8" t="n"/>
      <c r="P90" s="8" t="n"/>
      <c r="Q90" s="9">
        <f>IF(OR(O90="",P90=""),"",O90*P90)</f>
        <v/>
      </c>
      <c r="R90" s="8" t="n"/>
      <c r="S90" s="8" t="n"/>
      <c r="T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9">
        <f>IF(OR(G91="",H91=""),"",G91*H91)</f>
        <v/>
      </c>
      <c r="J91" s="10">
        <f>IF(I91="","",IF(I91&gt;=16,"Critical",IF(I91&gt;=10,"High",IF(I91&gt;=5,"Medium","Low"))))</f>
        <v/>
      </c>
      <c r="K91" s="8" t="n"/>
      <c r="L91" s="8" t="n"/>
      <c r="M91" s="8" t="n"/>
      <c r="N91" s="8" t="n"/>
      <c r="O91" s="8" t="n"/>
      <c r="P91" s="8" t="n"/>
      <c r="Q91" s="9">
        <f>IF(OR(O91="",P91=""),"",O91*P91)</f>
        <v/>
      </c>
      <c r="R91" s="8" t="n"/>
      <c r="S91" s="8" t="n"/>
      <c r="T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9">
        <f>IF(OR(G92="",H92=""),"",G92*H92)</f>
        <v/>
      </c>
      <c r="J92" s="10">
        <f>IF(I92="","",IF(I92&gt;=16,"Critical",IF(I92&gt;=10,"High",IF(I92&gt;=5,"Medium","Low"))))</f>
        <v/>
      </c>
      <c r="K92" s="8" t="n"/>
      <c r="L92" s="8" t="n"/>
      <c r="M92" s="8" t="n"/>
      <c r="N92" s="8" t="n"/>
      <c r="O92" s="8" t="n"/>
      <c r="P92" s="8" t="n"/>
      <c r="Q92" s="9">
        <f>IF(OR(O92="",P92=""),"",O92*P92)</f>
        <v/>
      </c>
      <c r="R92" s="8" t="n"/>
      <c r="S92" s="8" t="n"/>
      <c r="T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9">
        <f>IF(OR(G93="",H93=""),"",G93*H93)</f>
        <v/>
      </c>
      <c r="J93" s="10">
        <f>IF(I93="","",IF(I93&gt;=16,"Critical",IF(I93&gt;=10,"High",IF(I93&gt;=5,"Medium","Low"))))</f>
        <v/>
      </c>
      <c r="K93" s="8" t="n"/>
      <c r="L93" s="8" t="n"/>
      <c r="M93" s="8" t="n"/>
      <c r="N93" s="8" t="n"/>
      <c r="O93" s="8" t="n"/>
      <c r="P93" s="8" t="n"/>
      <c r="Q93" s="9">
        <f>IF(OR(O93="",P93=""),"",O93*P93)</f>
        <v/>
      </c>
      <c r="R93" s="8" t="n"/>
      <c r="S93" s="8" t="n"/>
      <c r="T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9">
        <f>IF(OR(G94="",H94=""),"",G94*H94)</f>
        <v/>
      </c>
      <c r="J94" s="10">
        <f>IF(I94="","",IF(I94&gt;=16,"Critical",IF(I94&gt;=10,"High",IF(I94&gt;=5,"Medium","Low"))))</f>
        <v/>
      </c>
      <c r="K94" s="8" t="n"/>
      <c r="L94" s="8" t="n"/>
      <c r="M94" s="8" t="n"/>
      <c r="N94" s="8" t="n"/>
      <c r="O94" s="8" t="n"/>
      <c r="P94" s="8" t="n"/>
      <c r="Q94" s="9">
        <f>IF(OR(O94="",P94=""),"",O94*P94)</f>
        <v/>
      </c>
      <c r="R94" s="8" t="n"/>
      <c r="S94" s="8" t="n"/>
      <c r="T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9">
        <f>IF(OR(G95="",H95=""),"",G95*H95)</f>
        <v/>
      </c>
      <c r="J95" s="10">
        <f>IF(I95="","",IF(I95&gt;=16,"Critical",IF(I95&gt;=10,"High",IF(I95&gt;=5,"Medium","Low"))))</f>
        <v/>
      </c>
      <c r="K95" s="8" t="n"/>
      <c r="L95" s="8" t="n"/>
      <c r="M95" s="8" t="n"/>
      <c r="N95" s="8" t="n"/>
      <c r="O95" s="8" t="n"/>
      <c r="P95" s="8" t="n"/>
      <c r="Q95" s="9">
        <f>IF(OR(O95="",P95=""),"",O95*P95)</f>
        <v/>
      </c>
      <c r="R95" s="8" t="n"/>
      <c r="S95" s="8" t="n"/>
      <c r="T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9">
        <f>IF(OR(G96="",H96=""),"",G96*H96)</f>
        <v/>
      </c>
      <c r="J96" s="10">
        <f>IF(I96="","",IF(I96&gt;=16,"Critical",IF(I96&gt;=10,"High",IF(I96&gt;=5,"Medium","Low"))))</f>
        <v/>
      </c>
      <c r="K96" s="8" t="n"/>
      <c r="L96" s="8" t="n"/>
      <c r="M96" s="8" t="n"/>
      <c r="N96" s="8" t="n"/>
      <c r="O96" s="8" t="n"/>
      <c r="P96" s="8" t="n"/>
      <c r="Q96" s="9">
        <f>IF(OR(O96="",P96=""),"",O96*P96)</f>
        <v/>
      </c>
      <c r="R96" s="8" t="n"/>
      <c r="S96" s="8" t="n"/>
      <c r="T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9">
        <f>IF(OR(G97="",H97=""),"",G97*H97)</f>
        <v/>
      </c>
      <c r="J97" s="10">
        <f>IF(I97="","",IF(I97&gt;=16,"Critical",IF(I97&gt;=10,"High",IF(I97&gt;=5,"Medium","Low"))))</f>
        <v/>
      </c>
      <c r="K97" s="8" t="n"/>
      <c r="L97" s="8" t="n"/>
      <c r="M97" s="8" t="n"/>
      <c r="N97" s="8" t="n"/>
      <c r="O97" s="8" t="n"/>
      <c r="P97" s="8" t="n"/>
      <c r="Q97" s="9">
        <f>IF(OR(O97="",P97=""),"",O97*P97)</f>
        <v/>
      </c>
      <c r="R97" s="8" t="n"/>
      <c r="S97" s="8" t="n"/>
      <c r="T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9">
        <f>IF(OR(G98="",H98=""),"",G98*H98)</f>
        <v/>
      </c>
      <c r="J98" s="10">
        <f>IF(I98="","",IF(I98&gt;=16,"Critical",IF(I98&gt;=10,"High",IF(I98&gt;=5,"Medium","Low"))))</f>
        <v/>
      </c>
      <c r="K98" s="8" t="n"/>
      <c r="L98" s="8" t="n"/>
      <c r="M98" s="8" t="n"/>
      <c r="N98" s="8" t="n"/>
      <c r="O98" s="8" t="n"/>
      <c r="P98" s="8" t="n"/>
      <c r="Q98" s="9">
        <f>IF(OR(O98="",P98=""),"",O98*P98)</f>
        <v/>
      </c>
      <c r="R98" s="8" t="n"/>
      <c r="S98" s="8" t="n"/>
      <c r="T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9">
        <f>IF(OR(G99="",H99=""),"",G99*H99)</f>
        <v/>
      </c>
      <c r="J99" s="10">
        <f>IF(I99="","",IF(I99&gt;=16,"Critical",IF(I99&gt;=10,"High",IF(I99&gt;=5,"Medium","Low"))))</f>
        <v/>
      </c>
      <c r="K99" s="8" t="n"/>
      <c r="L99" s="8" t="n"/>
      <c r="M99" s="8" t="n"/>
      <c r="N99" s="8" t="n"/>
      <c r="O99" s="8" t="n"/>
      <c r="P99" s="8" t="n"/>
      <c r="Q99" s="9">
        <f>IF(OR(O99="",P99=""),"",O99*P99)</f>
        <v/>
      </c>
      <c r="R99" s="8" t="n"/>
      <c r="S99" s="8" t="n"/>
      <c r="T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9">
        <f>IF(OR(G100="",H100=""),"",G100*H100)</f>
        <v/>
      </c>
      <c r="J100" s="10">
        <f>IF(I100="","",IF(I100&gt;=16,"Critical",IF(I100&gt;=10,"High",IF(I100&gt;=5,"Medium","Low"))))</f>
        <v/>
      </c>
      <c r="K100" s="8" t="n"/>
      <c r="L100" s="8" t="n"/>
      <c r="M100" s="8" t="n"/>
      <c r="N100" s="8" t="n"/>
      <c r="O100" s="8" t="n"/>
      <c r="P100" s="8" t="n"/>
      <c r="Q100" s="9">
        <f>IF(OR(O100="",P100=""),"",O100*P100)</f>
        <v/>
      </c>
      <c r="R100" s="8" t="n"/>
      <c r="S100" s="8" t="n"/>
      <c r="T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9">
        <f>IF(OR(G101="",H101=""),"",G101*H101)</f>
        <v/>
      </c>
      <c r="J101" s="10">
        <f>IF(I101="","",IF(I101&gt;=16,"Critical",IF(I101&gt;=10,"High",IF(I101&gt;=5,"Medium","Low"))))</f>
        <v/>
      </c>
      <c r="K101" s="8" t="n"/>
      <c r="L101" s="8" t="n"/>
      <c r="M101" s="8" t="n"/>
      <c r="N101" s="8" t="n"/>
      <c r="O101" s="8" t="n"/>
      <c r="P101" s="8" t="n"/>
      <c r="Q101" s="9">
        <f>IF(OR(O101="",P101=""),"",O101*P101)</f>
        <v/>
      </c>
      <c r="R101" s="8" t="n"/>
      <c r="S101" s="8" t="n"/>
      <c r="T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9">
        <f>IF(OR(G102="",H102=""),"",G102*H102)</f>
        <v/>
      </c>
      <c r="J102" s="10">
        <f>IF(I102="","",IF(I102&gt;=16,"Critical",IF(I102&gt;=10,"High",IF(I102&gt;=5,"Medium","Low"))))</f>
        <v/>
      </c>
      <c r="K102" s="8" t="n"/>
      <c r="L102" s="8" t="n"/>
      <c r="M102" s="8" t="n"/>
      <c r="N102" s="8" t="n"/>
      <c r="O102" s="8" t="n"/>
      <c r="P102" s="8" t="n"/>
      <c r="Q102" s="9">
        <f>IF(OR(O102="",P102=""),"",O102*P102)</f>
        <v/>
      </c>
      <c r="R102" s="8" t="n"/>
      <c r="S102" s="8" t="n"/>
      <c r="T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9">
        <f>IF(OR(G103="",H103=""),"",G103*H103)</f>
        <v/>
      </c>
      <c r="J103" s="10">
        <f>IF(I103="","",IF(I103&gt;=16,"Critical",IF(I103&gt;=10,"High",IF(I103&gt;=5,"Medium","Low"))))</f>
        <v/>
      </c>
      <c r="K103" s="8" t="n"/>
      <c r="L103" s="8" t="n"/>
      <c r="M103" s="8" t="n"/>
      <c r="N103" s="8" t="n"/>
      <c r="O103" s="8" t="n"/>
      <c r="P103" s="8" t="n"/>
      <c r="Q103" s="9">
        <f>IF(OR(O103="",P103=""),"",O103*P103)</f>
        <v/>
      </c>
      <c r="R103" s="8" t="n"/>
      <c r="S103" s="8" t="n"/>
      <c r="T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9">
        <f>IF(OR(G104="",H104=""),"",G104*H104)</f>
        <v/>
      </c>
      <c r="J104" s="10">
        <f>IF(I104="","",IF(I104&gt;=16,"Critical",IF(I104&gt;=10,"High",IF(I104&gt;=5,"Medium","Low"))))</f>
        <v/>
      </c>
      <c r="K104" s="8" t="n"/>
      <c r="L104" s="8" t="n"/>
      <c r="M104" s="8" t="n"/>
      <c r="N104" s="8" t="n"/>
      <c r="O104" s="8" t="n"/>
      <c r="P104" s="8" t="n"/>
      <c r="Q104" s="9">
        <f>IF(OR(O104="",P104=""),"",O104*P104)</f>
        <v/>
      </c>
      <c r="R104" s="8" t="n"/>
      <c r="S104" s="8" t="n"/>
      <c r="T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9">
        <f>IF(OR(G105="",H105=""),"",G105*H105)</f>
        <v/>
      </c>
      <c r="J105" s="10">
        <f>IF(I105="","",IF(I105&gt;=16,"Critical",IF(I105&gt;=10,"High",IF(I105&gt;=5,"Medium","Low"))))</f>
        <v/>
      </c>
      <c r="K105" s="8" t="n"/>
      <c r="L105" s="8" t="n"/>
      <c r="M105" s="8" t="n"/>
      <c r="N105" s="8" t="n"/>
      <c r="O105" s="8" t="n"/>
      <c r="P105" s="8" t="n"/>
      <c r="Q105" s="9">
        <f>IF(OR(O105="",P105=""),"",O105*P105)</f>
        <v/>
      </c>
      <c r="R105" s="8" t="n"/>
      <c r="S105" s="8" t="n"/>
      <c r="T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9">
        <f>IF(OR(G106="",H106=""),"",G106*H106)</f>
        <v/>
      </c>
      <c r="J106" s="10">
        <f>IF(I106="","",IF(I106&gt;=16,"Critical",IF(I106&gt;=10,"High",IF(I106&gt;=5,"Medium","Low"))))</f>
        <v/>
      </c>
      <c r="K106" s="8" t="n"/>
      <c r="L106" s="8" t="n"/>
      <c r="M106" s="8" t="n"/>
      <c r="N106" s="8" t="n"/>
      <c r="O106" s="8" t="n"/>
      <c r="P106" s="8" t="n"/>
      <c r="Q106" s="9">
        <f>IF(OR(O106="",P106=""),"",O106*P106)</f>
        <v/>
      </c>
      <c r="R106" s="8" t="n"/>
      <c r="S106" s="8" t="n"/>
      <c r="T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9">
        <f>IF(OR(G107="",H107=""),"",G107*H107)</f>
        <v/>
      </c>
      <c r="J107" s="10">
        <f>IF(I107="","",IF(I107&gt;=16,"Critical",IF(I107&gt;=10,"High",IF(I107&gt;=5,"Medium","Low"))))</f>
        <v/>
      </c>
      <c r="K107" s="8" t="n"/>
      <c r="L107" s="8" t="n"/>
      <c r="M107" s="8" t="n"/>
      <c r="N107" s="8" t="n"/>
      <c r="O107" s="8" t="n"/>
      <c r="P107" s="8" t="n"/>
      <c r="Q107" s="9">
        <f>IF(OR(O107="",P107=""),"",O107*P107)</f>
        <v/>
      </c>
      <c r="R107" s="8" t="n"/>
      <c r="S107" s="8" t="n"/>
      <c r="T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9">
        <f>IF(OR(G108="",H108=""),"",G108*H108)</f>
        <v/>
      </c>
      <c r="J108" s="10">
        <f>IF(I108="","",IF(I108&gt;=16,"Critical",IF(I108&gt;=10,"High",IF(I108&gt;=5,"Medium","Low"))))</f>
        <v/>
      </c>
      <c r="K108" s="8" t="n"/>
      <c r="L108" s="8" t="n"/>
      <c r="M108" s="8" t="n"/>
      <c r="N108" s="8" t="n"/>
      <c r="O108" s="8" t="n"/>
      <c r="P108" s="8" t="n"/>
      <c r="Q108" s="9">
        <f>IF(OR(O108="",P108=""),"",O108*P108)</f>
        <v/>
      </c>
      <c r="R108" s="8" t="n"/>
      <c r="S108" s="8" t="n"/>
      <c r="T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9">
        <f>IF(OR(G109="",H109=""),"",G109*H109)</f>
        <v/>
      </c>
      <c r="J109" s="10">
        <f>IF(I109="","",IF(I109&gt;=16,"Critical",IF(I109&gt;=10,"High",IF(I109&gt;=5,"Medium","Low"))))</f>
        <v/>
      </c>
      <c r="K109" s="8" t="n"/>
      <c r="L109" s="8" t="n"/>
      <c r="M109" s="8" t="n"/>
      <c r="N109" s="8" t="n"/>
      <c r="O109" s="8" t="n"/>
      <c r="P109" s="8" t="n"/>
      <c r="Q109" s="9">
        <f>IF(OR(O109="",P109=""),"",O109*P109)</f>
        <v/>
      </c>
      <c r="R109" s="8" t="n"/>
      <c r="S109" s="8" t="n"/>
      <c r="T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9">
        <f>IF(OR(G110="",H110=""),"",G110*H110)</f>
        <v/>
      </c>
      <c r="J110" s="10">
        <f>IF(I110="","",IF(I110&gt;=16,"Critical",IF(I110&gt;=10,"High",IF(I110&gt;=5,"Medium","Low"))))</f>
        <v/>
      </c>
      <c r="K110" s="8" t="n"/>
      <c r="L110" s="8" t="n"/>
      <c r="M110" s="8" t="n"/>
      <c r="N110" s="8" t="n"/>
      <c r="O110" s="8" t="n"/>
      <c r="P110" s="8" t="n"/>
      <c r="Q110" s="9">
        <f>IF(OR(O110="",P110=""),"",O110*P110)</f>
        <v/>
      </c>
      <c r="R110" s="8" t="n"/>
      <c r="S110" s="8" t="n"/>
      <c r="T110" s="8" t="n"/>
    </row>
  </sheetData>
  <mergeCells count="3">
    <mergeCell ref="A9:T9"/>
    <mergeCell ref="A8:T8"/>
    <mergeCell ref="A2:T2"/>
  </mergeCells>
  <dataValidations count="9">
    <dataValidation sqref="G11:G110" showDropDown="0" showInputMessage="0" showErrorMessage="0" allowBlank="1" errorTitle="Invalid entry" error="Enter a whole number from 1 to 5." type="whole" operator="between">
      <formula1>1</formula1>
      <formula2>5</formula2>
    </dataValidation>
    <dataValidation sqref="H11:H110" showDropDown="0" showInputMessage="0" showErrorMessage="0" allowBlank="1" errorTitle="Invalid entry" error="Enter a whole number from 1 to 5." type="whole" operator="between">
      <formula1>1</formula1>
      <formula2>5</formula2>
    </dataValidation>
    <dataValidation sqref="K11:K110" showDropDown="0" showInputMessage="0" showErrorMessage="0" allowBlank="1" errorTitle="Invalid entry" error="Choose a value from the list." type="list">
      <formula1>"Modify,Retain,Avoid,Share"</formula1>
    </dataValidation>
    <dataValidation sqref="N11:N110" showDropDown="0" showInputMessage="0" showErrorMessage="0" allowBlank="1" errorTitle="Invalid entry" error="Enter a date." type="date" operator="greaterThan">
      <formula1>1</formula1>
    </dataValidation>
    <dataValidation sqref="O11:O110" showDropDown="0" showInputMessage="0" showErrorMessage="0" allowBlank="1" errorTitle="Invalid entry" error="Enter a whole number from 1 to 5." type="whole" operator="between">
      <formula1>1</formula1>
      <formula2>5</formula2>
    </dataValidation>
    <dataValidation sqref="P11:P110" showDropDown="0" showInputMessage="0" showErrorMessage="0" allowBlank="1" errorTitle="Invalid entry" error="Enter a whole number from 1 to 5." type="whole" operator="between">
      <formula1>1</formula1>
      <formula2>5</formula2>
    </dataValidation>
    <dataValidation sqref="R11:R110" showDropDown="0" showInputMessage="0" showErrorMessage="0" allowBlank="1" errorTitle="Invalid entry" error="Choose a value from the list." type="list">
      <formula1>"Open,Treating,Accepted,Closed"</formula1>
    </dataValidation>
    <dataValidation sqref="S11:S110" showDropDown="0" showInputMessage="0" showErrorMessage="0" allowBlank="1" errorTitle="Invalid entry" error="Enter a date." type="date" operator="greaterThan">
      <formula1>1</formula1>
    </dataValidation>
    <dataValidation sqref="T11:T110" showDropDown="0" showInputMessage="0" showErrorMessage="0" allowBlank="1" errorTitle="Invalid entry" error="Enter a date." type="date" operator="greaterThan">
      <formula1>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2026-10-25T21:27:58Z</dcterms:created>
  <dcterms:modified xmlns:dcterms="http://purl.org/dc/terms/" xmlns:xsi="http://www.w3.org/2001/XMLSchema-instance" xsi:type="dcterms:W3CDTF">2026-10-25T21:27:58Z</dcterms:modified>
</cp:coreProperties>
</file>