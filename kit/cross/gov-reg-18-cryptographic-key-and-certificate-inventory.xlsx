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yptographic key and certif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FF1661A2"/>
      <sz val="16"/>
    </font>
    <font>
      <name val="Arial"/>
      <color rgb="FF526478"/>
      <sz val="10"/>
    </font>
    <font>
      <name val="Arial"/>
      <color rgb="FF17263A"/>
      <sz val="10"/>
    </font>
    <font>
      <name val="Arial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FFF5DA"/>
      </patternFill>
    </fill>
    <fill>
      <patternFill patternType="solid">
        <fgColor rgb="FF172D4A"/>
      </patternFill>
    </fill>
    <fill>
      <patternFill patternType="solid">
        <fgColor rgb="FFFFFBEF"/>
      </patternFill>
    </fill>
    <fill>
      <patternFill patternType="solid">
        <fgColor rgb="FFEA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 wrapText="1"/>
    </xf>
    <xf numFmtId="1" fontId="3" fillId="4" borderId="0" applyAlignment="1" pivotButton="0" quotePrefix="0" xfId="0">
      <alignment vertical="center" wrapText="1"/>
    </xf>
    <xf numFmtId="164" fontId="3" fillId="5" borderId="0" applyAlignment="1" pivotButton="0" quotePrefix="0" xfId="0">
      <alignment vertical="center" wrapText="1"/>
    </xf>
    <xf numFmtId="1" fontId="3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GovReg18CryptographicKeyAndCertificateInventoryTable" displayName="GovReg18CryptographicKeyAndCertificateInventoryTable" ref="A10:P110" headerRowCount="1">
  <autoFilter ref="A10:P110"/>
  <tableColumns count="16">
    <tableColumn id="1" name="Item ID"/>
    <tableColumn id="2" name="Type"/>
    <tableColumn id="3" name="Name or identifier"/>
    <tableColumn id="4" name="Purpose"/>
    <tableColumn id="5" name="System"/>
    <tableColumn id="6" name="Algorithm and length"/>
    <tableColumn id="7" name="Location"/>
    <tableColumn id="8" name="Owner (role)"/>
    <tableColumn id="9" name="Custodian (role)"/>
    <tableColumn id="10" name="Created date"/>
    <tableColumn id="11" name="Rotation period (days)"/>
    <tableColumn id="12" name="Rotation due"/>
    <tableColumn id="13" name="Expiry date"/>
    <tableColumn id="14" name="Days to expiry"/>
    <tableColumn id="15" name="Status"/>
    <tableColumn id="16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661A2"/>
    <outlinePr summaryBelow="1" summaryRight="1"/>
    <pageSetUpPr/>
  </sheetPr>
  <dimension ref="A2:P11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26" customWidth="1" min="4" max="4"/>
    <col width="22" customWidth="1" min="5" max="5"/>
    <col width="18" customWidth="1" min="6" max="6"/>
    <col width="18" customWidth="1" min="7" max="7"/>
    <col width="20" customWidth="1" min="8" max="8"/>
    <col width="20" customWidth="1" min="9" max="9"/>
    <col width="14" customWidth="1" min="10" max="10"/>
    <col width="12" customWidth="1" min="11" max="11"/>
    <col width="14" customWidth="1" min="12" max="12"/>
    <col width="14" customWidth="1" min="13" max="13"/>
    <col width="12" customWidth="1" min="14" max="14"/>
    <col width="16" customWidth="1" min="15" max="15"/>
    <col width="28" customWidth="1" min="16" max="16"/>
  </cols>
  <sheetData>
    <row r="2">
      <c r="A2" s="1" t="inlineStr">
        <is>
          <t>Cryptographic key and certificate inventory</t>
        </is>
      </c>
    </row>
    <row r="3">
      <c r="A3" s="2" t="inlineStr">
        <is>
          <t>GOV-REG-18. 100 prepared rows. Keep completed copies in your organisation's approved storage; do not publish filled registers.</t>
        </is>
      </c>
    </row>
    <row r="4">
      <c r="A4" s="2" t="inlineStr">
        <is>
          <t>Serves: ISO/IEC 27001:2022 Annex A 8.24; SOC 2 CC6.1; SOC 2 CC6.7</t>
        </is>
      </c>
    </row>
    <row r="5">
      <c r="A5" s="3" t="inlineStr">
        <is>
          <t>Recorded items</t>
        </is>
      </c>
      <c r="B5" s="3" t="inlineStr">
        <is>
          <t>Statuses entered</t>
        </is>
      </c>
      <c r="C5" s="3" t="inlineStr">
        <is>
          <t>Scope / organisation</t>
        </is>
      </c>
    </row>
    <row r="6">
      <c r="A6" s="4">
        <f>COUNTA(A11:A110)</f>
        <v/>
      </c>
      <c r="B6" s="4">
        <f>COUNTA(O11:O110)</f>
        <v/>
      </c>
      <c r="C6" s="5" t="n"/>
    </row>
    <row r="8" ht="44" customHeight="1">
      <c r="A8" s="6" t="inlineStr">
        <is>
          <t>Every key, certificate and long-lived secret that protects [Organisation] data, with its purpose, algorithm, location, custodian and rotation dates under GOV-PRO-20. Rotation due and days to expiry are calculated so that nothing expires unnoticed.</t>
        </is>
      </c>
    </row>
    <row r="9">
      <c r="A9" s="2" t="inlineStr">
        <is>
          <t>Editable inputs are pale yellow. Calculated cells are pale blue and should not be typed over. Add rows inside the table and check formulas after inserting.</t>
        </is>
      </c>
    </row>
    <row r="10" ht="34" customHeight="1">
      <c r="A10" s="7" t="inlineStr">
        <is>
          <t>Item ID</t>
        </is>
      </c>
      <c r="B10" s="7" t="inlineStr">
        <is>
          <t>Type</t>
        </is>
      </c>
      <c r="C10" s="7" t="inlineStr">
        <is>
          <t>Name or identifier</t>
        </is>
      </c>
      <c r="D10" s="7" t="inlineStr">
        <is>
          <t>Purpose</t>
        </is>
      </c>
      <c r="E10" s="7" t="inlineStr">
        <is>
          <t>System</t>
        </is>
      </c>
      <c r="F10" s="7" t="inlineStr">
        <is>
          <t>Algorithm and length</t>
        </is>
      </c>
      <c r="G10" s="7" t="inlineStr">
        <is>
          <t>Location</t>
        </is>
      </c>
      <c r="H10" s="7" t="inlineStr">
        <is>
          <t>Owner (role)</t>
        </is>
      </c>
      <c r="I10" s="7" t="inlineStr">
        <is>
          <t>Custodian (role)</t>
        </is>
      </c>
      <c r="J10" s="7" t="inlineStr">
        <is>
          <t>Created date</t>
        </is>
      </c>
      <c r="K10" s="7" t="inlineStr">
        <is>
          <t>Rotation period (days)</t>
        </is>
      </c>
      <c r="L10" s="7" t="inlineStr">
        <is>
          <t>Rotation due</t>
        </is>
      </c>
      <c r="M10" s="7" t="inlineStr">
        <is>
          <t>Expiry date</t>
        </is>
      </c>
      <c r="N10" s="7" t="inlineStr">
        <is>
          <t>Days to expiry</t>
        </is>
      </c>
      <c r="O10" s="7" t="inlineStr">
        <is>
          <t>Status</t>
        </is>
      </c>
      <c r="P10" s="7" t="inlineStr">
        <is>
          <t>Notes</t>
        </is>
      </c>
    </row>
    <row r="11" ht="2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9" t="n"/>
      <c r="L11" s="10">
        <f>IF(OR(J11="",K11=""),"",J11+K11)</f>
        <v/>
      </c>
      <c r="M11" s="8" t="n"/>
      <c r="N11" s="11">
        <f>IF(M11="","",M11-TODAY())</f>
        <v/>
      </c>
      <c r="O11" s="8" t="n"/>
      <c r="P11" s="8" t="n"/>
    </row>
    <row r="12" ht="2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9" t="n"/>
      <c r="L12" s="10">
        <f>IF(OR(J12="",K12=""),"",J12+K12)</f>
        <v/>
      </c>
      <c r="M12" s="8" t="n"/>
      <c r="N12" s="11">
        <f>IF(M12="","",M12-TODAY())</f>
        <v/>
      </c>
      <c r="O12" s="8" t="n"/>
      <c r="P12" s="8" t="n"/>
    </row>
    <row r="13" ht="2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9" t="n"/>
      <c r="L13" s="10">
        <f>IF(OR(J13="",K13=""),"",J13+K13)</f>
        <v/>
      </c>
      <c r="M13" s="8" t="n"/>
      <c r="N13" s="11">
        <f>IF(M13="","",M13-TODAY())</f>
        <v/>
      </c>
      <c r="O13" s="8" t="n"/>
      <c r="P13" s="8" t="n"/>
    </row>
    <row r="14" ht="2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9" t="n"/>
      <c r="L14" s="10">
        <f>IF(OR(J14="",K14=""),"",J14+K14)</f>
        <v/>
      </c>
      <c r="M14" s="8" t="n"/>
      <c r="N14" s="11">
        <f>IF(M14="","",M14-TODAY())</f>
        <v/>
      </c>
      <c r="O14" s="8" t="n"/>
      <c r="P14" s="8" t="n"/>
    </row>
    <row r="15" ht="2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9" t="n"/>
      <c r="L15" s="10">
        <f>IF(OR(J15="",K15=""),"",J15+K15)</f>
        <v/>
      </c>
      <c r="M15" s="8" t="n"/>
      <c r="N15" s="11">
        <f>IF(M15="","",M15-TODAY())</f>
        <v/>
      </c>
      <c r="O15" s="8" t="n"/>
      <c r="P15" s="8" t="n"/>
    </row>
    <row r="16" ht="2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9" t="n"/>
      <c r="L16" s="10">
        <f>IF(OR(J16="",K16=""),"",J16+K16)</f>
        <v/>
      </c>
      <c r="M16" s="8" t="n"/>
      <c r="N16" s="11">
        <f>IF(M16="","",M16-TODAY())</f>
        <v/>
      </c>
      <c r="O16" s="8" t="n"/>
      <c r="P16" s="8" t="n"/>
    </row>
    <row r="17" ht="2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9" t="n"/>
      <c r="L17" s="10">
        <f>IF(OR(J17="",K17=""),"",J17+K17)</f>
        <v/>
      </c>
      <c r="M17" s="8" t="n"/>
      <c r="N17" s="11">
        <f>IF(M17="","",M17-TODAY())</f>
        <v/>
      </c>
      <c r="O17" s="8" t="n"/>
      <c r="P17" s="8" t="n"/>
    </row>
    <row r="18" ht="2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9" t="n"/>
      <c r="L18" s="10">
        <f>IF(OR(J18="",K18=""),"",J18+K18)</f>
        <v/>
      </c>
      <c r="M18" s="8" t="n"/>
      <c r="N18" s="11">
        <f>IF(M18="","",M18-TODAY())</f>
        <v/>
      </c>
      <c r="O18" s="8" t="n"/>
      <c r="P18" s="8" t="n"/>
    </row>
    <row r="19" ht="2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9" t="n"/>
      <c r="L19" s="10">
        <f>IF(OR(J19="",K19=""),"",J19+K19)</f>
        <v/>
      </c>
      <c r="M19" s="8" t="n"/>
      <c r="N19" s="11">
        <f>IF(M19="","",M19-TODAY())</f>
        <v/>
      </c>
      <c r="O19" s="8" t="n"/>
      <c r="P19" s="8" t="n"/>
    </row>
    <row r="20" ht="2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9" t="n"/>
      <c r="L20" s="10">
        <f>IF(OR(J20="",K20=""),"",J20+K20)</f>
        <v/>
      </c>
      <c r="M20" s="8" t="n"/>
      <c r="N20" s="11">
        <f>IF(M20="","",M20-TODAY())</f>
        <v/>
      </c>
      <c r="O20" s="8" t="n"/>
      <c r="P20" s="8" t="n"/>
    </row>
    <row r="21" ht="2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9" t="n"/>
      <c r="L21" s="10">
        <f>IF(OR(J21="",K21=""),"",J21+K21)</f>
        <v/>
      </c>
      <c r="M21" s="8" t="n"/>
      <c r="N21" s="11">
        <f>IF(M21="","",M21-TODAY())</f>
        <v/>
      </c>
      <c r="O21" s="8" t="n"/>
      <c r="P21" s="8" t="n"/>
    </row>
    <row r="22" ht="2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9" t="n"/>
      <c r="L22" s="10">
        <f>IF(OR(J22="",K22=""),"",J22+K22)</f>
        <v/>
      </c>
      <c r="M22" s="8" t="n"/>
      <c r="N22" s="11">
        <f>IF(M22="","",M22-TODAY())</f>
        <v/>
      </c>
      <c r="O22" s="8" t="n"/>
      <c r="P22" s="8" t="n"/>
    </row>
    <row r="23" ht="2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9" t="n"/>
      <c r="L23" s="10">
        <f>IF(OR(J23="",K23=""),"",J23+K23)</f>
        <v/>
      </c>
      <c r="M23" s="8" t="n"/>
      <c r="N23" s="11">
        <f>IF(M23="","",M23-TODAY())</f>
        <v/>
      </c>
      <c r="O23" s="8" t="n"/>
      <c r="P23" s="8" t="n"/>
    </row>
    <row r="24" ht="2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9" t="n"/>
      <c r="L24" s="10">
        <f>IF(OR(J24="",K24=""),"",J24+K24)</f>
        <v/>
      </c>
      <c r="M24" s="8" t="n"/>
      <c r="N24" s="11">
        <f>IF(M24="","",M24-TODAY())</f>
        <v/>
      </c>
      <c r="O24" s="8" t="n"/>
      <c r="P24" s="8" t="n"/>
    </row>
    <row r="25" ht="2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9" t="n"/>
      <c r="L25" s="10">
        <f>IF(OR(J25="",K25=""),"",J25+K25)</f>
        <v/>
      </c>
      <c r="M25" s="8" t="n"/>
      <c r="N25" s="11">
        <f>IF(M25="","",M25-TODAY())</f>
        <v/>
      </c>
      <c r="O25" s="8" t="n"/>
      <c r="P25" s="8" t="n"/>
    </row>
    <row r="26" ht="2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9" t="n"/>
      <c r="L26" s="10">
        <f>IF(OR(J26="",K26=""),"",J26+K26)</f>
        <v/>
      </c>
      <c r="M26" s="8" t="n"/>
      <c r="N26" s="11">
        <f>IF(M26="","",M26-TODAY())</f>
        <v/>
      </c>
      <c r="O26" s="8" t="n"/>
      <c r="P26" s="8" t="n"/>
    </row>
    <row r="27" ht="2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9" t="n"/>
      <c r="L27" s="10">
        <f>IF(OR(J27="",K27=""),"",J27+K27)</f>
        <v/>
      </c>
      <c r="M27" s="8" t="n"/>
      <c r="N27" s="11">
        <f>IF(M27="","",M27-TODAY())</f>
        <v/>
      </c>
      <c r="O27" s="8" t="n"/>
      <c r="P27" s="8" t="n"/>
    </row>
    <row r="28" ht="2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9" t="n"/>
      <c r="L28" s="10">
        <f>IF(OR(J28="",K28=""),"",J28+K28)</f>
        <v/>
      </c>
      <c r="M28" s="8" t="n"/>
      <c r="N28" s="11">
        <f>IF(M28="","",M28-TODAY())</f>
        <v/>
      </c>
      <c r="O28" s="8" t="n"/>
      <c r="P28" s="8" t="n"/>
    </row>
    <row r="29" ht="2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9" t="n"/>
      <c r="L29" s="10">
        <f>IF(OR(J29="",K29=""),"",J29+K29)</f>
        <v/>
      </c>
      <c r="M29" s="8" t="n"/>
      <c r="N29" s="11">
        <f>IF(M29="","",M29-TODAY())</f>
        <v/>
      </c>
      <c r="O29" s="8" t="n"/>
      <c r="P29" s="8" t="n"/>
    </row>
    <row r="30" ht="2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9" t="n"/>
      <c r="L30" s="10">
        <f>IF(OR(J30="",K30=""),"",J30+K30)</f>
        <v/>
      </c>
      <c r="M30" s="8" t="n"/>
      <c r="N30" s="11">
        <f>IF(M30="","",M30-TODAY())</f>
        <v/>
      </c>
      <c r="O30" s="8" t="n"/>
      <c r="P30" s="8" t="n"/>
    </row>
    <row r="31" ht="2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9" t="n"/>
      <c r="L31" s="10">
        <f>IF(OR(J31="",K31=""),"",J31+K31)</f>
        <v/>
      </c>
      <c r="M31" s="8" t="n"/>
      <c r="N31" s="11">
        <f>IF(M31="","",M31-TODAY())</f>
        <v/>
      </c>
      <c r="O31" s="8" t="n"/>
      <c r="P31" s="8" t="n"/>
    </row>
    <row r="32" ht="2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9" t="n"/>
      <c r="L32" s="10">
        <f>IF(OR(J32="",K32=""),"",J32+K32)</f>
        <v/>
      </c>
      <c r="M32" s="8" t="n"/>
      <c r="N32" s="11">
        <f>IF(M32="","",M32-TODAY())</f>
        <v/>
      </c>
      <c r="O32" s="8" t="n"/>
      <c r="P32" s="8" t="n"/>
    </row>
    <row r="33" ht="2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9" t="n"/>
      <c r="L33" s="10">
        <f>IF(OR(J33="",K33=""),"",J33+K33)</f>
        <v/>
      </c>
      <c r="M33" s="8" t="n"/>
      <c r="N33" s="11">
        <f>IF(M33="","",M33-TODAY())</f>
        <v/>
      </c>
      <c r="O33" s="8" t="n"/>
      <c r="P33" s="8" t="n"/>
    </row>
    <row r="34" ht="2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9" t="n"/>
      <c r="L34" s="10">
        <f>IF(OR(J34="",K34=""),"",J34+K34)</f>
        <v/>
      </c>
      <c r="M34" s="8" t="n"/>
      <c r="N34" s="11">
        <f>IF(M34="","",M34-TODAY())</f>
        <v/>
      </c>
      <c r="O34" s="8" t="n"/>
      <c r="P34" s="8" t="n"/>
    </row>
    <row r="35" ht="2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9" t="n"/>
      <c r="L35" s="10">
        <f>IF(OR(J35="",K35=""),"",J35+K35)</f>
        <v/>
      </c>
      <c r="M35" s="8" t="n"/>
      <c r="N35" s="11">
        <f>IF(M35="","",M35-TODAY())</f>
        <v/>
      </c>
      <c r="O35" s="8" t="n"/>
      <c r="P35" s="8" t="n"/>
    </row>
    <row r="36" ht="2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9" t="n"/>
      <c r="L36" s="10">
        <f>IF(OR(J36="",K36=""),"",J36+K36)</f>
        <v/>
      </c>
      <c r="M36" s="8" t="n"/>
      <c r="N36" s="11">
        <f>IF(M36="","",M36-TODAY())</f>
        <v/>
      </c>
      <c r="O36" s="8" t="n"/>
      <c r="P36" s="8" t="n"/>
    </row>
    <row r="37" ht="2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9" t="n"/>
      <c r="L37" s="10">
        <f>IF(OR(J37="",K37=""),"",J37+K37)</f>
        <v/>
      </c>
      <c r="M37" s="8" t="n"/>
      <c r="N37" s="11">
        <f>IF(M37="","",M37-TODAY())</f>
        <v/>
      </c>
      <c r="O37" s="8" t="n"/>
      <c r="P37" s="8" t="n"/>
    </row>
    <row r="38" ht="2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9" t="n"/>
      <c r="L38" s="10">
        <f>IF(OR(J38="",K38=""),"",J38+K38)</f>
        <v/>
      </c>
      <c r="M38" s="8" t="n"/>
      <c r="N38" s="11">
        <f>IF(M38="","",M38-TODAY())</f>
        <v/>
      </c>
      <c r="O38" s="8" t="n"/>
      <c r="P38" s="8" t="n"/>
    </row>
    <row r="39" ht="2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9" t="n"/>
      <c r="L39" s="10">
        <f>IF(OR(J39="",K39=""),"",J39+K39)</f>
        <v/>
      </c>
      <c r="M39" s="8" t="n"/>
      <c r="N39" s="11">
        <f>IF(M39="","",M39-TODAY())</f>
        <v/>
      </c>
      <c r="O39" s="8" t="n"/>
      <c r="P39" s="8" t="n"/>
    </row>
    <row r="40" ht="2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9" t="n"/>
      <c r="L40" s="10">
        <f>IF(OR(J40="",K40=""),"",J40+K40)</f>
        <v/>
      </c>
      <c r="M40" s="8" t="n"/>
      <c r="N40" s="11">
        <f>IF(M40="","",M40-TODAY())</f>
        <v/>
      </c>
      <c r="O40" s="8" t="n"/>
      <c r="P40" s="8" t="n"/>
    </row>
    <row r="41" ht="2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9" t="n"/>
      <c r="L41" s="10">
        <f>IF(OR(J41="",K41=""),"",J41+K41)</f>
        <v/>
      </c>
      <c r="M41" s="8" t="n"/>
      <c r="N41" s="11">
        <f>IF(M41="","",M41-TODAY())</f>
        <v/>
      </c>
      <c r="O41" s="8" t="n"/>
      <c r="P41" s="8" t="n"/>
    </row>
    <row r="42" ht="2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9" t="n"/>
      <c r="L42" s="10">
        <f>IF(OR(J42="",K42=""),"",J42+K42)</f>
        <v/>
      </c>
      <c r="M42" s="8" t="n"/>
      <c r="N42" s="11">
        <f>IF(M42="","",M42-TODAY())</f>
        <v/>
      </c>
      <c r="O42" s="8" t="n"/>
      <c r="P42" s="8" t="n"/>
    </row>
    <row r="43" ht="28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9" t="n"/>
      <c r="L43" s="10">
        <f>IF(OR(J43="",K43=""),"",J43+K43)</f>
        <v/>
      </c>
      <c r="M43" s="8" t="n"/>
      <c r="N43" s="11">
        <f>IF(M43="","",M43-TODAY())</f>
        <v/>
      </c>
      <c r="O43" s="8" t="n"/>
      <c r="P43" s="8" t="n"/>
    </row>
    <row r="44" ht="2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9" t="n"/>
      <c r="L44" s="10">
        <f>IF(OR(J44="",K44=""),"",J44+K44)</f>
        <v/>
      </c>
      <c r="M44" s="8" t="n"/>
      <c r="N44" s="11">
        <f>IF(M44="","",M44-TODAY())</f>
        <v/>
      </c>
      <c r="O44" s="8" t="n"/>
      <c r="P44" s="8" t="n"/>
    </row>
    <row r="45" ht="28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9" t="n"/>
      <c r="L45" s="10">
        <f>IF(OR(J45="",K45=""),"",J45+K45)</f>
        <v/>
      </c>
      <c r="M45" s="8" t="n"/>
      <c r="N45" s="11">
        <f>IF(M45="","",M45-TODAY())</f>
        <v/>
      </c>
      <c r="O45" s="8" t="n"/>
      <c r="P45" s="8" t="n"/>
    </row>
    <row r="46" ht="2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9" t="n"/>
      <c r="L46" s="10">
        <f>IF(OR(J46="",K46=""),"",J46+K46)</f>
        <v/>
      </c>
      <c r="M46" s="8" t="n"/>
      <c r="N46" s="11">
        <f>IF(M46="","",M46-TODAY())</f>
        <v/>
      </c>
      <c r="O46" s="8" t="n"/>
      <c r="P46" s="8" t="n"/>
    </row>
    <row r="47" ht="28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9" t="n"/>
      <c r="L47" s="10">
        <f>IF(OR(J47="",K47=""),"",J47+K47)</f>
        <v/>
      </c>
      <c r="M47" s="8" t="n"/>
      <c r="N47" s="11">
        <f>IF(M47="","",M47-TODAY())</f>
        <v/>
      </c>
      <c r="O47" s="8" t="n"/>
      <c r="P47" s="8" t="n"/>
    </row>
    <row r="48" ht="2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9" t="n"/>
      <c r="L48" s="10">
        <f>IF(OR(J48="",K48=""),"",J48+K48)</f>
        <v/>
      </c>
      <c r="M48" s="8" t="n"/>
      <c r="N48" s="11">
        <f>IF(M48="","",M48-TODAY())</f>
        <v/>
      </c>
      <c r="O48" s="8" t="n"/>
      <c r="P48" s="8" t="n"/>
    </row>
    <row r="49" ht="28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9" t="n"/>
      <c r="L49" s="10">
        <f>IF(OR(J49="",K49=""),"",J49+K49)</f>
        <v/>
      </c>
      <c r="M49" s="8" t="n"/>
      <c r="N49" s="11">
        <f>IF(M49="","",M49-TODAY())</f>
        <v/>
      </c>
      <c r="O49" s="8" t="n"/>
      <c r="P49" s="8" t="n"/>
    </row>
    <row r="50" ht="2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9" t="n"/>
      <c r="L50" s="10">
        <f>IF(OR(J50="",K50=""),"",J50+K50)</f>
        <v/>
      </c>
      <c r="M50" s="8" t="n"/>
      <c r="N50" s="11">
        <f>IF(M50="","",M50-TODAY())</f>
        <v/>
      </c>
      <c r="O50" s="8" t="n"/>
      <c r="P50" s="8" t="n"/>
    </row>
    <row r="51" ht="28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9" t="n"/>
      <c r="L51" s="10">
        <f>IF(OR(J51="",K51=""),"",J51+K51)</f>
        <v/>
      </c>
      <c r="M51" s="8" t="n"/>
      <c r="N51" s="11">
        <f>IF(M51="","",M51-TODAY())</f>
        <v/>
      </c>
      <c r="O51" s="8" t="n"/>
      <c r="P51" s="8" t="n"/>
    </row>
    <row r="52" ht="2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9" t="n"/>
      <c r="L52" s="10">
        <f>IF(OR(J52="",K52=""),"",J52+K52)</f>
        <v/>
      </c>
      <c r="M52" s="8" t="n"/>
      <c r="N52" s="11">
        <f>IF(M52="","",M52-TODAY())</f>
        <v/>
      </c>
      <c r="O52" s="8" t="n"/>
      <c r="P52" s="8" t="n"/>
    </row>
    <row r="53" ht="28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9" t="n"/>
      <c r="L53" s="10">
        <f>IF(OR(J53="",K53=""),"",J53+K53)</f>
        <v/>
      </c>
      <c r="M53" s="8" t="n"/>
      <c r="N53" s="11">
        <f>IF(M53="","",M53-TODAY())</f>
        <v/>
      </c>
      <c r="O53" s="8" t="n"/>
      <c r="P53" s="8" t="n"/>
    </row>
    <row r="54" ht="2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9" t="n"/>
      <c r="L54" s="10">
        <f>IF(OR(J54="",K54=""),"",J54+K54)</f>
        <v/>
      </c>
      <c r="M54" s="8" t="n"/>
      <c r="N54" s="11">
        <f>IF(M54="","",M54-TODAY())</f>
        <v/>
      </c>
      <c r="O54" s="8" t="n"/>
      <c r="P54" s="8" t="n"/>
    </row>
    <row r="55" ht="28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9" t="n"/>
      <c r="L55" s="10">
        <f>IF(OR(J55="",K55=""),"",J55+K55)</f>
        <v/>
      </c>
      <c r="M55" s="8" t="n"/>
      <c r="N55" s="11">
        <f>IF(M55="","",M55-TODAY())</f>
        <v/>
      </c>
      <c r="O55" s="8" t="n"/>
      <c r="P55" s="8" t="n"/>
    </row>
    <row r="56" ht="2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9" t="n"/>
      <c r="L56" s="10">
        <f>IF(OR(J56="",K56=""),"",J56+K56)</f>
        <v/>
      </c>
      <c r="M56" s="8" t="n"/>
      <c r="N56" s="11">
        <f>IF(M56="","",M56-TODAY())</f>
        <v/>
      </c>
      <c r="O56" s="8" t="n"/>
      <c r="P56" s="8" t="n"/>
    </row>
    <row r="57" ht="28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9" t="n"/>
      <c r="L57" s="10">
        <f>IF(OR(J57="",K57=""),"",J57+K57)</f>
        <v/>
      </c>
      <c r="M57" s="8" t="n"/>
      <c r="N57" s="11">
        <f>IF(M57="","",M57-TODAY())</f>
        <v/>
      </c>
      <c r="O57" s="8" t="n"/>
      <c r="P57" s="8" t="n"/>
    </row>
    <row r="58" ht="2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9" t="n"/>
      <c r="L58" s="10">
        <f>IF(OR(J58="",K58=""),"",J58+K58)</f>
        <v/>
      </c>
      <c r="M58" s="8" t="n"/>
      <c r="N58" s="11">
        <f>IF(M58="","",M58-TODAY())</f>
        <v/>
      </c>
      <c r="O58" s="8" t="n"/>
      <c r="P58" s="8" t="n"/>
    </row>
    <row r="59" ht="28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9" t="n"/>
      <c r="L59" s="10">
        <f>IF(OR(J59="",K59=""),"",J59+K59)</f>
        <v/>
      </c>
      <c r="M59" s="8" t="n"/>
      <c r="N59" s="11">
        <f>IF(M59="","",M59-TODAY())</f>
        <v/>
      </c>
      <c r="O59" s="8" t="n"/>
      <c r="P59" s="8" t="n"/>
    </row>
    <row r="60" ht="2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9" t="n"/>
      <c r="L60" s="10">
        <f>IF(OR(J60="",K60=""),"",J60+K60)</f>
        <v/>
      </c>
      <c r="M60" s="8" t="n"/>
      <c r="N60" s="11">
        <f>IF(M60="","",M60-TODAY())</f>
        <v/>
      </c>
      <c r="O60" s="8" t="n"/>
      <c r="P60" s="8" t="n"/>
    </row>
    <row r="61" ht="28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9" t="n"/>
      <c r="L61" s="10">
        <f>IF(OR(J61="",K61=""),"",J61+K61)</f>
        <v/>
      </c>
      <c r="M61" s="8" t="n"/>
      <c r="N61" s="11">
        <f>IF(M61="","",M61-TODAY())</f>
        <v/>
      </c>
      <c r="O61" s="8" t="n"/>
      <c r="P61" s="8" t="n"/>
    </row>
    <row r="62" ht="2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9" t="n"/>
      <c r="L62" s="10">
        <f>IF(OR(J62="",K62=""),"",J62+K62)</f>
        <v/>
      </c>
      <c r="M62" s="8" t="n"/>
      <c r="N62" s="11">
        <f>IF(M62="","",M62-TODAY())</f>
        <v/>
      </c>
      <c r="O62" s="8" t="n"/>
      <c r="P62" s="8" t="n"/>
    </row>
    <row r="63" ht="28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9" t="n"/>
      <c r="L63" s="10">
        <f>IF(OR(J63="",K63=""),"",J63+K63)</f>
        <v/>
      </c>
      <c r="M63" s="8" t="n"/>
      <c r="N63" s="11">
        <f>IF(M63="","",M63-TODAY())</f>
        <v/>
      </c>
      <c r="O63" s="8" t="n"/>
      <c r="P63" s="8" t="n"/>
    </row>
    <row r="64" ht="2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9" t="n"/>
      <c r="L64" s="10">
        <f>IF(OR(J64="",K64=""),"",J64+K64)</f>
        <v/>
      </c>
      <c r="M64" s="8" t="n"/>
      <c r="N64" s="11">
        <f>IF(M64="","",M64-TODAY())</f>
        <v/>
      </c>
      <c r="O64" s="8" t="n"/>
      <c r="P64" s="8" t="n"/>
    </row>
    <row r="65" ht="28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9" t="n"/>
      <c r="L65" s="10">
        <f>IF(OR(J65="",K65=""),"",J65+K65)</f>
        <v/>
      </c>
      <c r="M65" s="8" t="n"/>
      <c r="N65" s="11">
        <f>IF(M65="","",M65-TODAY())</f>
        <v/>
      </c>
      <c r="O65" s="8" t="n"/>
      <c r="P65" s="8" t="n"/>
    </row>
    <row r="66" ht="2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9" t="n"/>
      <c r="L66" s="10">
        <f>IF(OR(J66="",K66=""),"",J66+K66)</f>
        <v/>
      </c>
      <c r="M66" s="8" t="n"/>
      <c r="N66" s="11">
        <f>IF(M66="","",M66-TODAY())</f>
        <v/>
      </c>
      <c r="O66" s="8" t="n"/>
      <c r="P66" s="8" t="n"/>
    </row>
    <row r="67" ht="28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9" t="n"/>
      <c r="L67" s="10">
        <f>IF(OR(J67="",K67=""),"",J67+K67)</f>
        <v/>
      </c>
      <c r="M67" s="8" t="n"/>
      <c r="N67" s="11">
        <f>IF(M67="","",M67-TODAY())</f>
        <v/>
      </c>
      <c r="O67" s="8" t="n"/>
      <c r="P67" s="8" t="n"/>
    </row>
    <row r="68" ht="2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9" t="n"/>
      <c r="L68" s="10">
        <f>IF(OR(J68="",K68=""),"",J68+K68)</f>
        <v/>
      </c>
      <c r="M68" s="8" t="n"/>
      <c r="N68" s="11">
        <f>IF(M68="","",M68-TODAY())</f>
        <v/>
      </c>
      <c r="O68" s="8" t="n"/>
      <c r="P68" s="8" t="n"/>
    </row>
    <row r="69" ht="28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9" t="n"/>
      <c r="L69" s="10">
        <f>IF(OR(J69="",K69=""),"",J69+K69)</f>
        <v/>
      </c>
      <c r="M69" s="8" t="n"/>
      <c r="N69" s="11">
        <f>IF(M69="","",M69-TODAY())</f>
        <v/>
      </c>
      <c r="O69" s="8" t="n"/>
      <c r="P69" s="8" t="n"/>
    </row>
    <row r="70" ht="2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9" t="n"/>
      <c r="L70" s="10">
        <f>IF(OR(J70="",K70=""),"",J70+K70)</f>
        <v/>
      </c>
      <c r="M70" s="8" t="n"/>
      <c r="N70" s="11">
        <f>IF(M70="","",M70-TODAY())</f>
        <v/>
      </c>
      <c r="O70" s="8" t="n"/>
      <c r="P70" s="8" t="n"/>
    </row>
    <row r="71" ht="28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9" t="n"/>
      <c r="L71" s="10">
        <f>IF(OR(J71="",K71=""),"",J71+K71)</f>
        <v/>
      </c>
      <c r="M71" s="8" t="n"/>
      <c r="N71" s="11">
        <f>IF(M71="","",M71-TODAY())</f>
        <v/>
      </c>
      <c r="O71" s="8" t="n"/>
      <c r="P71" s="8" t="n"/>
    </row>
    <row r="72" ht="2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9" t="n"/>
      <c r="L72" s="10">
        <f>IF(OR(J72="",K72=""),"",J72+K72)</f>
        <v/>
      </c>
      <c r="M72" s="8" t="n"/>
      <c r="N72" s="11">
        <f>IF(M72="","",M72-TODAY())</f>
        <v/>
      </c>
      <c r="O72" s="8" t="n"/>
      <c r="P72" s="8" t="n"/>
    </row>
    <row r="73" ht="28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9" t="n"/>
      <c r="L73" s="10">
        <f>IF(OR(J73="",K73=""),"",J73+K73)</f>
        <v/>
      </c>
      <c r="M73" s="8" t="n"/>
      <c r="N73" s="11">
        <f>IF(M73="","",M73-TODAY())</f>
        <v/>
      </c>
      <c r="O73" s="8" t="n"/>
      <c r="P73" s="8" t="n"/>
    </row>
    <row r="74" ht="2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9" t="n"/>
      <c r="L74" s="10">
        <f>IF(OR(J74="",K74=""),"",J74+K74)</f>
        <v/>
      </c>
      <c r="M74" s="8" t="n"/>
      <c r="N74" s="11">
        <f>IF(M74="","",M74-TODAY())</f>
        <v/>
      </c>
      <c r="O74" s="8" t="n"/>
      <c r="P74" s="8" t="n"/>
    </row>
    <row r="75" ht="28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9" t="n"/>
      <c r="L75" s="10">
        <f>IF(OR(J75="",K75=""),"",J75+K75)</f>
        <v/>
      </c>
      <c r="M75" s="8" t="n"/>
      <c r="N75" s="11">
        <f>IF(M75="","",M75-TODAY())</f>
        <v/>
      </c>
      <c r="O75" s="8" t="n"/>
      <c r="P75" s="8" t="n"/>
    </row>
    <row r="76" ht="2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9" t="n"/>
      <c r="L76" s="10">
        <f>IF(OR(J76="",K76=""),"",J76+K76)</f>
        <v/>
      </c>
      <c r="M76" s="8" t="n"/>
      <c r="N76" s="11">
        <f>IF(M76="","",M76-TODAY())</f>
        <v/>
      </c>
      <c r="O76" s="8" t="n"/>
      <c r="P76" s="8" t="n"/>
    </row>
    <row r="77" ht="28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9" t="n"/>
      <c r="L77" s="10">
        <f>IF(OR(J77="",K77=""),"",J77+K77)</f>
        <v/>
      </c>
      <c r="M77" s="8" t="n"/>
      <c r="N77" s="11">
        <f>IF(M77="","",M77-TODAY())</f>
        <v/>
      </c>
      <c r="O77" s="8" t="n"/>
      <c r="P77" s="8" t="n"/>
    </row>
    <row r="78" ht="2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9" t="n"/>
      <c r="L78" s="10">
        <f>IF(OR(J78="",K78=""),"",J78+K78)</f>
        <v/>
      </c>
      <c r="M78" s="8" t="n"/>
      <c r="N78" s="11">
        <f>IF(M78="","",M78-TODAY())</f>
        <v/>
      </c>
      <c r="O78" s="8" t="n"/>
      <c r="P78" s="8" t="n"/>
    </row>
    <row r="79" ht="28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9" t="n"/>
      <c r="L79" s="10">
        <f>IF(OR(J79="",K79=""),"",J79+K79)</f>
        <v/>
      </c>
      <c r="M79" s="8" t="n"/>
      <c r="N79" s="11">
        <f>IF(M79="","",M79-TODAY())</f>
        <v/>
      </c>
      <c r="O79" s="8" t="n"/>
      <c r="P79" s="8" t="n"/>
    </row>
    <row r="80" ht="2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9" t="n"/>
      <c r="L80" s="10">
        <f>IF(OR(J80="",K80=""),"",J80+K80)</f>
        <v/>
      </c>
      <c r="M80" s="8" t="n"/>
      <c r="N80" s="11">
        <f>IF(M80="","",M80-TODAY())</f>
        <v/>
      </c>
      <c r="O80" s="8" t="n"/>
      <c r="P80" s="8" t="n"/>
    </row>
    <row r="81" ht="28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9" t="n"/>
      <c r="L81" s="10">
        <f>IF(OR(J81="",K81=""),"",J81+K81)</f>
        <v/>
      </c>
      <c r="M81" s="8" t="n"/>
      <c r="N81" s="11">
        <f>IF(M81="","",M81-TODAY())</f>
        <v/>
      </c>
      <c r="O81" s="8" t="n"/>
      <c r="P81" s="8" t="n"/>
    </row>
    <row r="82" ht="2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9" t="n"/>
      <c r="L82" s="10">
        <f>IF(OR(J82="",K82=""),"",J82+K82)</f>
        <v/>
      </c>
      <c r="M82" s="8" t="n"/>
      <c r="N82" s="11">
        <f>IF(M82="","",M82-TODAY())</f>
        <v/>
      </c>
      <c r="O82" s="8" t="n"/>
      <c r="P82" s="8" t="n"/>
    </row>
    <row r="83" ht="28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9" t="n"/>
      <c r="L83" s="10">
        <f>IF(OR(J83="",K83=""),"",J83+K83)</f>
        <v/>
      </c>
      <c r="M83" s="8" t="n"/>
      <c r="N83" s="11">
        <f>IF(M83="","",M83-TODAY())</f>
        <v/>
      </c>
      <c r="O83" s="8" t="n"/>
      <c r="P83" s="8" t="n"/>
    </row>
    <row r="84" ht="2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9" t="n"/>
      <c r="L84" s="10">
        <f>IF(OR(J84="",K84=""),"",J84+K84)</f>
        <v/>
      </c>
      <c r="M84" s="8" t="n"/>
      <c r="N84" s="11">
        <f>IF(M84="","",M84-TODAY())</f>
        <v/>
      </c>
      <c r="O84" s="8" t="n"/>
      <c r="P84" s="8" t="n"/>
    </row>
    <row r="85" ht="28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9" t="n"/>
      <c r="L85" s="10">
        <f>IF(OR(J85="",K85=""),"",J85+K85)</f>
        <v/>
      </c>
      <c r="M85" s="8" t="n"/>
      <c r="N85" s="11">
        <f>IF(M85="","",M85-TODAY())</f>
        <v/>
      </c>
      <c r="O85" s="8" t="n"/>
      <c r="P85" s="8" t="n"/>
    </row>
    <row r="86" ht="2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9" t="n"/>
      <c r="L86" s="10">
        <f>IF(OR(J86="",K86=""),"",J86+K86)</f>
        <v/>
      </c>
      <c r="M86" s="8" t="n"/>
      <c r="N86" s="11">
        <f>IF(M86="","",M86-TODAY())</f>
        <v/>
      </c>
      <c r="O86" s="8" t="n"/>
      <c r="P86" s="8" t="n"/>
    </row>
    <row r="87" ht="28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9" t="n"/>
      <c r="L87" s="10">
        <f>IF(OR(J87="",K87=""),"",J87+K87)</f>
        <v/>
      </c>
      <c r="M87" s="8" t="n"/>
      <c r="N87" s="11">
        <f>IF(M87="","",M87-TODAY())</f>
        <v/>
      </c>
      <c r="O87" s="8" t="n"/>
      <c r="P87" s="8" t="n"/>
    </row>
    <row r="88" ht="2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9" t="n"/>
      <c r="L88" s="10">
        <f>IF(OR(J88="",K88=""),"",J88+K88)</f>
        <v/>
      </c>
      <c r="M88" s="8" t="n"/>
      <c r="N88" s="11">
        <f>IF(M88="","",M88-TODAY())</f>
        <v/>
      </c>
      <c r="O88" s="8" t="n"/>
      <c r="P88" s="8" t="n"/>
    </row>
    <row r="89" ht="28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9" t="n"/>
      <c r="L89" s="10">
        <f>IF(OR(J89="",K89=""),"",J89+K89)</f>
        <v/>
      </c>
      <c r="M89" s="8" t="n"/>
      <c r="N89" s="11">
        <f>IF(M89="","",M89-TODAY())</f>
        <v/>
      </c>
      <c r="O89" s="8" t="n"/>
      <c r="P89" s="8" t="n"/>
    </row>
    <row r="90" ht="2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9" t="n"/>
      <c r="L90" s="10">
        <f>IF(OR(J90="",K90=""),"",J90+K90)</f>
        <v/>
      </c>
      <c r="M90" s="8" t="n"/>
      <c r="N90" s="11">
        <f>IF(M90="","",M90-TODAY())</f>
        <v/>
      </c>
      <c r="O90" s="8" t="n"/>
      <c r="P90" s="8" t="n"/>
    </row>
    <row r="91" ht="28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9" t="n"/>
      <c r="L91" s="10">
        <f>IF(OR(J91="",K91=""),"",J91+K91)</f>
        <v/>
      </c>
      <c r="M91" s="8" t="n"/>
      <c r="N91" s="11">
        <f>IF(M91="","",M91-TODAY())</f>
        <v/>
      </c>
      <c r="O91" s="8" t="n"/>
      <c r="P91" s="8" t="n"/>
    </row>
    <row r="92" ht="2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9" t="n"/>
      <c r="L92" s="10">
        <f>IF(OR(J92="",K92=""),"",J92+K92)</f>
        <v/>
      </c>
      <c r="M92" s="8" t="n"/>
      <c r="N92" s="11">
        <f>IF(M92="","",M92-TODAY())</f>
        <v/>
      </c>
      <c r="O92" s="8" t="n"/>
      <c r="P92" s="8" t="n"/>
    </row>
    <row r="93" ht="28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9" t="n"/>
      <c r="L93" s="10">
        <f>IF(OR(J93="",K93=""),"",J93+K93)</f>
        <v/>
      </c>
      <c r="M93" s="8" t="n"/>
      <c r="N93" s="11">
        <f>IF(M93="","",M93-TODAY())</f>
        <v/>
      </c>
      <c r="O93" s="8" t="n"/>
      <c r="P93" s="8" t="n"/>
    </row>
    <row r="94" ht="2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9" t="n"/>
      <c r="L94" s="10">
        <f>IF(OR(J94="",K94=""),"",J94+K94)</f>
        <v/>
      </c>
      <c r="M94" s="8" t="n"/>
      <c r="N94" s="11">
        <f>IF(M94="","",M94-TODAY())</f>
        <v/>
      </c>
      <c r="O94" s="8" t="n"/>
      <c r="P94" s="8" t="n"/>
    </row>
    <row r="95" ht="28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9" t="n"/>
      <c r="L95" s="10">
        <f>IF(OR(J95="",K95=""),"",J95+K95)</f>
        <v/>
      </c>
      <c r="M95" s="8" t="n"/>
      <c r="N95" s="11">
        <f>IF(M95="","",M95-TODAY())</f>
        <v/>
      </c>
      <c r="O95" s="8" t="n"/>
      <c r="P95" s="8" t="n"/>
    </row>
    <row r="96" ht="2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9" t="n"/>
      <c r="L96" s="10">
        <f>IF(OR(J96="",K96=""),"",J96+K96)</f>
        <v/>
      </c>
      <c r="M96" s="8" t="n"/>
      <c r="N96" s="11">
        <f>IF(M96="","",M96-TODAY())</f>
        <v/>
      </c>
      <c r="O96" s="8" t="n"/>
      <c r="P96" s="8" t="n"/>
    </row>
    <row r="97" ht="28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9" t="n"/>
      <c r="L97" s="10">
        <f>IF(OR(J97="",K97=""),"",J97+K97)</f>
        <v/>
      </c>
      <c r="M97" s="8" t="n"/>
      <c r="N97" s="11">
        <f>IF(M97="","",M97-TODAY())</f>
        <v/>
      </c>
      <c r="O97" s="8" t="n"/>
      <c r="P97" s="8" t="n"/>
    </row>
    <row r="98" ht="2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9" t="n"/>
      <c r="L98" s="10">
        <f>IF(OR(J98="",K98=""),"",J98+K98)</f>
        <v/>
      </c>
      <c r="M98" s="8" t="n"/>
      <c r="N98" s="11">
        <f>IF(M98="","",M98-TODAY())</f>
        <v/>
      </c>
      <c r="O98" s="8" t="n"/>
      <c r="P98" s="8" t="n"/>
    </row>
    <row r="99" ht="28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9" t="n"/>
      <c r="L99" s="10">
        <f>IF(OR(J99="",K99=""),"",J99+K99)</f>
        <v/>
      </c>
      <c r="M99" s="8" t="n"/>
      <c r="N99" s="11">
        <f>IF(M99="","",M99-TODAY())</f>
        <v/>
      </c>
      <c r="O99" s="8" t="n"/>
      <c r="P99" s="8" t="n"/>
    </row>
    <row r="100" ht="2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9" t="n"/>
      <c r="L100" s="10">
        <f>IF(OR(J100="",K100=""),"",J100+K100)</f>
        <v/>
      </c>
      <c r="M100" s="8" t="n"/>
      <c r="N100" s="11">
        <f>IF(M100="","",M100-TODAY())</f>
        <v/>
      </c>
      <c r="O100" s="8" t="n"/>
      <c r="P100" s="8" t="n"/>
    </row>
    <row r="101" ht="28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9" t="n"/>
      <c r="L101" s="10">
        <f>IF(OR(J101="",K101=""),"",J101+K101)</f>
        <v/>
      </c>
      <c r="M101" s="8" t="n"/>
      <c r="N101" s="11">
        <f>IF(M101="","",M101-TODAY())</f>
        <v/>
      </c>
      <c r="O101" s="8" t="n"/>
      <c r="P101" s="8" t="n"/>
    </row>
    <row r="102" ht="2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9" t="n"/>
      <c r="L102" s="10">
        <f>IF(OR(J102="",K102=""),"",J102+K102)</f>
        <v/>
      </c>
      <c r="M102" s="8" t="n"/>
      <c r="N102" s="11">
        <f>IF(M102="","",M102-TODAY())</f>
        <v/>
      </c>
      <c r="O102" s="8" t="n"/>
      <c r="P102" s="8" t="n"/>
    </row>
    <row r="103" ht="28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9" t="n"/>
      <c r="L103" s="10">
        <f>IF(OR(J103="",K103=""),"",J103+K103)</f>
        <v/>
      </c>
      <c r="M103" s="8" t="n"/>
      <c r="N103" s="11">
        <f>IF(M103="","",M103-TODAY())</f>
        <v/>
      </c>
      <c r="O103" s="8" t="n"/>
      <c r="P103" s="8" t="n"/>
    </row>
    <row r="104" ht="2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9" t="n"/>
      <c r="L104" s="10">
        <f>IF(OR(J104="",K104=""),"",J104+K104)</f>
        <v/>
      </c>
      <c r="M104" s="8" t="n"/>
      <c r="N104" s="11">
        <f>IF(M104="","",M104-TODAY())</f>
        <v/>
      </c>
      <c r="O104" s="8" t="n"/>
      <c r="P104" s="8" t="n"/>
    </row>
    <row r="105" ht="28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9" t="n"/>
      <c r="L105" s="10">
        <f>IF(OR(J105="",K105=""),"",J105+K105)</f>
        <v/>
      </c>
      <c r="M105" s="8" t="n"/>
      <c r="N105" s="11">
        <f>IF(M105="","",M105-TODAY())</f>
        <v/>
      </c>
      <c r="O105" s="8" t="n"/>
      <c r="P105" s="8" t="n"/>
    </row>
    <row r="106" ht="28" customHeight="1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9" t="n"/>
      <c r="L106" s="10">
        <f>IF(OR(J106="",K106=""),"",J106+K106)</f>
        <v/>
      </c>
      <c r="M106" s="8" t="n"/>
      <c r="N106" s="11">
        <f>IF(M106="","",M106-TODAY())</f>
        <v/>
      </c>
      <c r="O106" s="8" t="n"/>
      <c r="P106" s="8" t="n"/>
    </row>
    <row r="107" ht="28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9" t="n"/>
      <c r="L107" s="10">
        <f>IF(OR(J107="",K107=""),"",J107+K107)</f>
        <v/>
      </c>
      <c r="M107" s="8" t="n"/>
      <c r="N107" s="11">
        <f>IF(M107="","",M107-TODAY())</f>
        <v/>
      </c>
      <c r="O107" s="8" t="n"/>
      <c r="P107" s="8" t="n"/>
    </row>
    <row r="108" ht="28" customHeight="1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9" t="n"/>
      <c r="L108" s="10">
        <f>IF(OR(J108="",K108=""),"",J108+K108)</f>
        <v/>
      </c>
      <c r="M108" s="8" t="n"/>
      <c r="N108" s="11">
        <f>IF(M108="","",M108-TODAY())</f>
        <v/>
      </c>
      <c r="O108" s="8" t="n"/>
      <c r="P108" s="8" t="n"/>
    </row>
    <row r="109" ht="28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9" t="n"/>
      <c r="L109" s="10">
        <f>IF(OR(J109="",K109=""),"",J109+K109)</f>
        <v/>
      </c>
      <c r="M109" s="8" t="n"/>
      <c r="N109" s="11">
        <f>IF(M109="","",M109-TODAY())</f>
        <v/>
      </c>
      <c r="O109" s="8" t="n"/>
      <c r="P109" s="8" t="n"/>
    </row>
    <row r="110" ht="28" customHeight="1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9" t="n"/>
      <c r="L110" s="10">
        <f>IF(OR(J110="",K110=""),"",J110+K110)</f>
        <v/>
      </c>
      <c r="M110" s="8" t="n"/>
      <c r="N110" s="11">
        <f>IF(M110="","",M110-TODAY())</f>
        <v/>
      </c>
      <c r="O110" s="8" t="n"/>
      <c r="P110" s="8" t="n"/>
    </row>
  </sheetData>
  <mergeCells count="3">
    <mergeCell ref="A9:P9"/>
    <mergeCell ref="A8:P8"/>
    <mergeCell ref="A2:P2"/>
  </mergeCells>
  <dataValidations count="5">
    <dataValidation sqref="B11:B110" showDropDown="0" showInputMessage="0" showErrorMessage="0" allowBlank="1" errorTitle="Invalid entry" error="Choose a value from the list." type="list">
      <formula1>"Data encryption key,Key encryption key,Signing key,TLS certificate,SSH key,API or service secret,Other"</formula1>
    </dataValidation>
    <dataValidation sqref="G11:G110" showDropDown="0" showInputMessage="0" showErrorMessage="0" allowBlank="1" errorTitle="Invalid entry" error="Choose a value from the list." type="list">
      <formula1>"Key management service,Hardware security module,Secrets store,Certificate store,Device,Other"</formula1>
    </dataValidation>
    <dataValidation sqref="J11:J110" showDropDown="0" showInputMessage="0" showErrorMessage="0" allowBlank="1" errorTitle="Invalid entry" error="Enter a date." type="date" operator="greaterThan">
      <formula1>1</formula1>
    </dataValidation>
    <dataValidation sqref="M11:M110" showDropDown="0" showInputMessage="0" showErrorMessage="0" allowBlank="1" errorTitle="Invalid entry" error="Enter a date." type="date" operator="greaterThan">
      <formula1>1</formula1>
    </dataValidation>
    <dataValidation sqref="O11:O110" showDropDown="0" showInputMessage="0" showErrorMessage="0" allowBlank="1" errorTitle="Invalid entry" error="Choose a value from the list." type="list">
      <formula1>"Active,Due for rotation,Expired,Revoked,Retired"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2026-10-25T21:01:41Z</dcterms:created>
  <dcterms:modified xmlns:dcterms="http://purl.org/dc/terms/" xmlns:xsi="http://www.w3.org/2001/XMLSchema-instance" xsi:type="dcterms:W3CDTF">2026-10-25T21:01:42Z</dcterms:modified>
</cp:coreProperties>
</file>