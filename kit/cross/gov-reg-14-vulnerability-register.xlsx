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ulnerability register"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6">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
      <patternFill patternType="solid">
        <fgColor rgb="FFEAF2FB"/>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vertical="center" wrapText="1"/>
    </xf>
    <xf numFmtId="164" fontId="3" fillId="4" borderId="0" applyAlignment="1" pivotButton="0" quotePrefix="0" xfId="0">
      <alignment vertical="center" wrapText="1"/>
    </xf>
    <xf numFmtId="165" fontId="3" fillId="5" borderId="0" applyAlignment="1" pivotButton="0" quotePrefix="0" xfId="0">
      <alignment vertical="center" wrapText="1"/>
    </xf>
    <xf numFmtId="0" fontId="3"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GovReg14VulnerabilityRegisterTable" displayName="GovReg14VulnerabilityRegisterTable" ref="A10:P110" headerRowCount="1">
  <autoFilter ref="A10:P110"/>
  <tableColumns count="16">
    <tableColumn id="1" name="Finding ID"/>
    <tableColumn id="2" name="Source"/>
    <tableColumn id="3" name="Asset"/>
    <tableColumn id="4" name="Description"/>
    <tableColumn id="5" name="Severity"/>
    <tableColumn id="6" name="CVSS score"/>
    <tableColumn id="7" name="Found date"/>
    <tableColumn id="8" name="SLA due"/>
    <tableColumn id="9" name="Owner (role)"/>
    <tableColumn id="10" name="Status"/>
    <tableColumn id="11" name="Fixed date"/>
    <tableColumn id="12" name="Verification"/>
    <tableColumn id="13" name="Verification date"/>
    <tableColumn id="14" name="Exception reference"/>
    <tableColumn id="15" name="SLA position"/>
    <tableColumn id="16"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P11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24" customWidth="1" min="3" max="3"/>
    <col width="40" customWidth="1" min="4" max="4"/>
    <col width="12" customWidth="1" min="5" max="5"/>
    <col width="10" customWidth="1" min="6" max="6"/>
    <col width="14" customWidth="1" min="7" max="7"/>
    <col width="14" customWidth="1" min="8" max="8"/>
    <col width="22" customWidth="1" min="9" max="9"/>
    <col width="16" customWidth="1" min="10" max="10"/>
    <col width="14" customWidth="1" min="11" max="11"/>
    <col width="18" customWidth="1" min="12" max="12"/>
    <col width="14" customWidth="1" min="13" max="13"/>
    <col width="18" customWidth="1" min="14" max="14"/>
    <col width="14" customWidth="1" min="15" max="15"/>
    <col width="30" customWidth="1" min="16" max="16"/>
  </cols>
  <sheetData>
    <row r="2">
      <c r="A2" s="1" t="inlineStr">
        <is>
          <t>Vulnerability register</t>
        </is>
      </c>
    </row>
    <row r="3">
      <c r="A3" s="2" t="inlineStr">
        <is>
          <t>GOV-REG-14. 100 prepared rows. Keep completed copies in your organisation's approved storage; do not publish filled registers.</t>
        </is>
      </c>
    </row>
    <row r="4">
      <c r="A4" s="2" t="inlineStr">
        <is>
          <t>Serves: ISO/IEC 27001:2022 Annex A 8.8; SOC 2 CC7.1</t>
        </is>
      </c>
    </row>
    <row r="5">
      <c r="A5" s="3" t="inlineStr">
        <is>
          <t>Recorded items</t>
        </is>
      </c>
      <c r="B5" s="3" t="inlineStr">
        <is>
          <t>Statuses entered</t>
        </is>
      </c>
      <c r="C5" s="3" t="inlineStr">
        <is>
          <t>Scope / organisation</t>
        </is>
      </c>
    </row>
    <row r="6">
      <c r="A6" s="4">
        <f>COUNTA(A11:A110)</f>
        <v/>
      </c>
      <c r="B6" s="4">
        <f>COUNTA(J11:J110)</f>
        <v/>
      </c>
      <c r="C6" s="5" t="n"/>
    </row>
    <row r="8" ht="44" customHeight="1">
      <c r="A8" s="6" t="inlineStr">
        <is>
          <t>Every technical vulnerability found by scanning, dependency analysis, configuration assessment, advisories, penetration tests or external reports, with its severity, owner and deadline. The SLA due date is calculated from the severity and the found date using the deadlines in GOV-PRO-11, and the SLA position shows what is overdue.</t>
        </is>
      </c>
    </row>
    <row r="9">
      <c r="A9" s="2" t="inlineStr">
        <is>
          <t>Editable inputs are pale yellow. Calculated cells are pale blue and should not be typed over. Add rows inside the table and check formulas after inserting.</t>
        </is>
      </c>
    </row>
    <row r="10" ht="34" customHeight="1">
      <c r="A10" s="7" t="inlineStr">
        <is>
          <t>Finding ID</t>
        </is>
      </c>
      <c r="B10" s="7" t="inlineStr">
        <is>
          <t>Source</t>
        </is>
      </c>
      <c r="C10" s="7" t="inlineStr">
        <is>
          <t>Asset</t>
        </is>
      </c>
      <c r="D10" s="7" t="inlineStr">
        <is>
          <t>Description</t>
        </is>
      </c>
      <c r="E10" s="7" t="inlineStr">
        <is>
          <t>Severity</t>
        </is>
      </c>
      <c r="F10" s="7" t="inlineStr">
        <is>
          <t>CVSS score</t>
        </is>
      </c>
      <c r="G10" s="7" t="inlineStr">
        <is>
          <t>Found date</t>
        </is>
      </c>
      <c r="H10" s="7" t="inlineStr">
        <is>
          <t>SLA due</t>
        </is>
      </c>
      <c r="I10" s="7" t="inlineStr">
        <is>
          <t>Owner (role)</t>
        </is>
      </c>
      <c r="J10" s="7" t="inlineStr">
        <is>
          <t>Status</t>
        </is>
      </c>
      <c r="K10" s="7" t="inlineStr">
        <is>
          <t>Fixed date</t>
        </is>
      </c>
      <c r="L10" s="7" t="inlineStr">
        <is>
          <t>Verification</t>
        </is>
      </c>
      <c r="M10" s="7" t="inlineStr">
        <is>
          <t>Verification date</t>
        </is>
      </c>
      <c r="N10" s="7" t="inlineStr">
        <is>
          <t>Exception reference</t>
        </is>
      </c>
      <c r="O10" s="7" t="inlineStr">
        <is>
          <t>SLA position</t>
        </is>
      </c>
      <c r="P10" s="7" t="inlineStr">
        <is>
          <t>Notes</t>
        </is>
      </c>
    </row>
    <row r="11" ht="28" customHeight="1">
      <c r="A11" s="8" t="n"/>
      <c r="B11" s="8" t="n"/>
      <c r="C11" s="8" t="n"/>
      <c r="D11" s="8" t="n"/>
      <c r="E11" s="8" t="n"/>
      <c r="F11" s="9" t="n"/>
      <c r="G11" s="8" t="n"/>
      <c r="H11" s="10">
        <f>IF(OR(E11="",G11=""),"",G11+IF(E11="Critical",7,IF(E11="High",30,IF(E11="Medium",90,180))))</f>
        <v/>
      </c>
      <c r="I11" s="8" t="n"/>
      <c r="J11" s="8" t="n"/>
      <c r="K11" s="8" t="n"/>
      <c r="L11" s="8" t="n"/>
      <c r="M11" s="8" t="n"/>
      <c r="N11" s="8" t="n"/>
      <c r="O11" s="11">
        <f>IF(H11="","",IF(OR(J11="Fixed",J11="Closed",J11="False positive"),"Closed",IF(J11="Risk accepted","Exception",IF(TODAY()&gt;H11,"Overdue","Within SLA"))))</f>
        <v/>
      </c>
      <c r="P11" s="8" t="n"/>
    </row>
    <row r="12" ht="28" customHeight="1">
      <c r="A12" s="8" t="n"/>
      <c r="B12" s="8" t="n"/>
      <c r="C12" s="8" t="n"/>
      <c r="D12" s="8" t="n"/>
      <c r="E12" s="8" t="n"/>
      <c r="F12" s="9" t="n"/>
      <c r="G12" s="8" t="n"/>
      <c r="H12" s="10">
        <f>IF(OR(E12="",G12=""),"",G12+IF(E12="Critical",7,IF(E12="High",30,IF(E12="Medium",90,180))))</f>
        <v/>
      </c>
      <c r="I12" s="8" t="n"/>
      <c r="J12" s="8" t="n"/>
      <c r="K12" s="8" t="n"/>
      <c r="L12" s="8" t="n"/>
      <c r="M12" s="8" t="n"/>
      <c r="N12" s="8" t="n"/>
      <c r="O12" s="11">
        <f>IF(H12="","",IF(OR(J12="Fixed",J12="Closed",J12="False positive"),"Closed",IF(J12="Risk accepted","Exception",IF(TODAY()&gt;H12,"Overdue","Within SLA"))))</f>
        <v/>
      </c>
      <c r="P12" s="8" t="n"/>
    </row>
    <row r="13" ht="28" customHeight="1">
      <c r="A13" s="8" t="n"/>
      <c r="B13" s="8" t="n"/>
      <c r="C13" s="8" t="n"/>
      <c r="D13" s="8" t="n"/>
      <c r="E13" s="8" t="n"/>
      <c r="F13" s="9" t="n"/>
      <c r="G13" s="8" t="n"/>
      <c r="H13" s="10">
        <f>IF(OR(E13="",G13=""),"",G13+IF(E13="Critical",7,IF(E13="High",30,IF(E13="Medium",90,180))))</f>
        <v/>
      </c>
      <c r="I13" s="8" t="n"/>
      <c r="J13" s="8" t="n"/>
      <c r="K13" s="8" t="n"/>
      <c r="L13" s="8" t="n"/>
      <c r="M13" s="8" t="n"/>
      <c r="N13" s="8" t="n"/>
      <c r="O13" s="11">
        <f>IF(H13="","",IF(OR(J13="Fixed",J13="Closed",J13="False positive"),"Closed",IF(J13="Risk accepted","Exception",IF(TODAY()&gt;H13,"Overdue","Within SLA"))))</f>
        <v/>
      </c>
      <c r="P13" s="8" t="n"/>
    </row>
    <row r="14" ht="28" customHeight="1">
      <c r="A14" s="8" t="n"/>
      <c r="B14" s="8" t="n"/>
      <c r="C14" s="8" t="n"/>
      <c r="D14" s="8" t="n"/>
      <c r="E14" s="8" t="n"/>
      <c r="F14" s="9" t="n"/>
      <c r="G14" s="8" t="n"/>
      <c r="H14" s="10">
        <f>IF(OR(E14="",G14=""),"",G14+IF(E14="Critical",7,IF(E14="High",30,IF(E14="Medium",90,180))))</f>
        <v/>
      </c>
      <c r="I14" s="8" t="n"/>
      <c r="J14" s="8" t="n"/>
      <c r="K14" s="8" t="n"/>
      <c r="L14" s="8" t="n"/>
      <c r="M14" s="8" t="n"/>
      <c r="N14" s="8" t="n"/>
      <c r="O14" s="11">
        <f>IF(H14="","",IF(OR(J14="Fixed",J14="Closed",J14="False positive"),"Closed",IF(J14="Risk accepted","Exception",IF(TODAY()&gt;H14,"Overdue","Within SLA"))))</f>
        <v/>
      </c>
      <c r="P14" s="8" t="n"/>
    </row>
    <row r="15" ht="28" customHeight="1">
      <c r="A15" s="8" t="n"/>
      <c r="B15" s="8" t="n"/>
      <c r="C15" s="8" t="n"/>
      <c r="D15" s="8" t="n"/>
      <c r="E15" s="8" t="n"/>
      <c r="F15" s="9" t="n"/>
      <c r="G15" s="8" t="n"/>
      <c r="H15" s="10">
        <f>IF(OR(E15="",G15=""),"",G15+IF(E15="Critical",7,IF(E15="High",30,IF(E15="Medium",90,180))))</f>
        <v/>
      </c>
      <c r="I15" s="8" t="n"/>
      <c r="J15" s="8" t="n"/>
      <c r="K15" s="8" t="n"/>
      <c r="L15" s="8" t="n"/>
      <c r="M15" s="8" t="n"/>
      <c r="N15" s="8" t="n"/>
      <c r="O15" s="11">
        <f>IF(H15="","",IF(OR(J15="Fixed",J15="Closed",J15="False positive"),"Closed",IF(J15="Risk accepted","Exception",IF(TODAY()&gt;H15,"Overdue","Within SLA"))))</f>
        <v/>
      </c>
      <c r="P15" s="8" t="n"/>
    </row>
    <row r="16" ht="28" customHeight="1">
      <c r="A16" s="8" t="n"/>
      <c r="B16" s="8" t="n"/>
      <c r="C16" s="8" t="n"/>
      <c r="D16" s="8" t="n"/>
      <c r="E16" s="8" t="n"/>
      <c r="F16" s="9" t="n"/>
      <c r="G16" s="8" t="n"/>
      <c r="H16" s="10">
        <f>IF(OR(E16="",G16=""),"",G16+IF(E16="Critical",7,IF(E16="High",30,IF(E16="Medium",90,180))))</f>
        <v/>
      </c>
      <c r="I16" s="8" t="n"/>
      <c r="J16" s="8" t="n"/>
      <c r="K16" s="8" t="n"/>
      <c r="L16" s="8" t="n"/>
      <c r="M16" s="8" t="n"/>
      <c r="N16" s="8" t="n"/>
      <c r="O16" s="11">
        <f>IF(H16="","",IF(OR(J16="Fixed",J16="Closed",J16="False positive"),"Closed",IF(J16="Risk accepted","Exception",IF(TODAY()&gt;H16,"Overdue","Within SLA"))))</f>
        <v/>
      </c>
      <c r="P16" s="8" t="n"/>
    </row>
    <row r="17" ht="28" customHeight="1">
      <c r="A17" s="8" t="n"/>
      <c r="B17" s="8" t="n"/>
      <c r="C17" s="8" t="n"/>
      <c r="D17" s="8" t="n"/>
      <c r="E17" s="8" t="n"/>
      <c r="F17" s="9" t="n"/>
      <c r="G17" s="8" t="n"/>
      <c r="H17" s="10">
        <f>IF(OR(E17="",G17=""),"",G17+IF(E17="Critical",7,IF(E17="High",30,IF(E17="Medium",90,180))))</f>
        <v/>
      </c>
      <c r="I17" s="8" t="n"/>
      <c r="J17" s="8" t="n"/>
      <c r="K17" s="8" t="n"/>
      <c r="L17" s="8" t="n"/>
      <c r="M17" s="8" t="n"/>
      <c r="N17" s="8" t="n"/>
      <c r="O17" s="11">
        <f>IF(H17="","",IF(OR(J17="Fixed",J17="Closed",J17="False positive"),"Closed",IF(J17="Risk accepted","Exception",IF(TODAY()&gt;H17,"Overdue","Within SLA"))))</f>
        <v/>
      </c>
      <c r="P17" s="8" t="n"/>
    </row>
    <row r="18" ht="28" customHeight="1">
      <c r="A18" s="8" t="n"/>
      <c r="B18" s="8" t="n"/>
      <c r="C18" s="8" t="n"/>
      <c r="D18" s="8" t="n"/>
      <c r="E18" s="8" t="n"/>
      <c r="F18" s="9" t="n"/>
      <c r="G18" s="8" t="n"/>
      <c r="H18" s="10">
        <f>IF(OR(E18="",G18=""),"",G18+IF(E18="Critical",7,IF(E18="High",30,IF(E18="Medium",90,180))))</f>
        <v/>
      </c>
      <c r="I18" s="8" t="n"/>
      <c r="J18" s="8" t="n"/>
      <c r="K18" s="8" t="n"/>
      <c r="L18" s="8" t="n"/>
      <c r="M18" s="8" t="n"/>
      <c r="N18" s="8" t="n"/>
      <c r="O18" s="11">
        <f>IF(H18="","",IF(OR(J18="Fixed",J18="Closed",J18="False positive"),"Closed",IF(J18="Risk accepted","Exception",IF(TODAY()&gt;H18,"Overdue","Within SLA"))))</f>
        <v/>
      </c>
      <c r="P18" s="8" t="n"/>
    </row>
    <row r="19" ht="28" customHeight="1">
      <c r="A19" s="8" t="n"/>
      <c r="B19" s="8" t="n"/>
      <c r="C19" s="8" t="n"/>
      <c r="D19" s="8" t="n"/>
      <c r="E19" s="8" t="n"/>
      <c r="F19" s="9" t="n"/>
      <c r="G19" s="8" t="n"/>
      <c r="H19" s="10">
        <f>IF(OR(E19="",G19=""),"",G19+IF(E19="Critical",7,IF(E19="High",30,IF(E19="Medium",90,180))))</f>
        <v/>
      </c>
      <c r="I19" s="8" t="n"/>
      <c r="J19" s="8" t="n"/>
      <c r="K19" s="8" t="n"/>
      <c r="L19" s="8" t="n"/>
      <c r="M19" s="8" t="n"/>
      <c r="N19" s="8" t="n"/>
      <c r="O19" s="11">
        <f>IF(H19="","",IF(OR(J19="Fixed",J19="Closed",J19="False positive"),"Closed",IF(J19="Risk accepted","Exception",IF(TODAY()&gt;H19,"Overdue","Within SLA"))))</f>
        <v/>
      </c>
      <c r="P19" s="8" t="n"/>
    </row>
    <row r="20" ht="28" customHeight="1">
      <c r="A20" s="8" t="n"/>
      <c r="B20" s="8" t="n"/>
      <c r="C20" s="8" t="n"/>
      <c r="D20" s="8" t="n"/>
      <c r="E20" s="8" t="n"/>
      <c r="F20" s="9" t="n"/>
      <c r="G20" s="8" t="n"/>
      <c r="H20" s="10">
        <f>IF(OR(E20="",G20=""),"",G20+IF(E20="Critical",7,IF(E20="High",30,IF(E20="Medium",90,180))))</f>
        <v/>
      </c>
      <c r="I20" s="8" t="n"/>
      <c r="J20" s="8" t="n"/>
      <c r="K20" s="8" t="n"/>
      <c r="L20" s="8" t="n"/>
      <c r="M20" s="8" t="n"/>
      <c r="N20" s="8" t="n"/>
      <c r="O20" s="11">
        <f>IF(H20="","",IF(OR(J20="Fixed",J20="Closed",J20="False positive"),"Closed",IF(J20="Risk accepted","Exception",IF(TODAY()&gt;H20,"Overdue","Within SLA"))))</f>
        <v/>
      </c>
      <c r="P20" s="8" t="n"/>
    </row>
    <row r="21" ht="28" customHeight="1">
      <c r="A21" s="8" t="n"/>
      <c r="B21" s="8" t="n"/>
      <c r="C21" s="8" t="n"/>
      <c r="D21" s="8" t="n"/>
      <c r="E21" s="8" t="n"/>
      <c r="F21" s="9" t="n"/>
      <c r="G21" s="8" t="n"/>
      <c r="H21" s="10">
        <f>IF(OR(E21="",G21=""),"",G21+IF(E21="Critical",7,IF(E21="High",30,IF(E21="Medium",90,180))))</f>
        <v/>
      </c>
      <c r="I21" s="8" t="n"/>
      <c r="J21" s="8" t="n"/>
      <c r="K21" s="8" t="n"/>
      <c r="L21" s="8" t="n"/>
      <c r="M21" s="8" t="n"/>
      <c r="N21" s="8" t="n"/>
      <c r="O21" s="11">
        <f>IF(H21="","",IF(OR(J21="Fixed",J21="Closed",J21="False positive"),"Closed",IF(J21="Risk accepted","Exception",IF(TODAY()&gt;H21,"Overdue","Within SLA"))))</f>
        <v/>
      </c>
      <c r="P21" s="8" t="n"/>
    </row>
    <row r="22" ht="28" customHeight="1">
      <c r="A22" s="8" t="n"/>
      <c r="B22" s="8" t="n"/>
      <c r="C22" s="8" t="n"/>
      <c r="D22" s="8" t="n"/>
      <c r="E22" s="8" t="n"/>
      <c r="F22" s="9" t="n"/>
      <c r="G22" s="8" t="n"/>
      <c r="H22" s="10">
        <f>IF(OR(E22="",G22=""),"",G22+IF(E22="Critical",7,IF(E22="High",30,IF(E22="Medium",90,180))))</f>
        <v/>
      </c>
      <c r="I22" s="8" t="n"/>
      <c r="J22" s="8" t="n"/>
      <c r="K22" s="8" t="n"/>
      <c r="L22" s="8" t="n"/>
      <c r="M22" s="8" t="n"/>
      <c r="N22" s="8" t="n"/>
      <c r="O22" s="11">
        <f>IF(H22="","",IF(OR(J22="Fixed",J22="Closed",J22="False positive"),"Closed",IF(J22="Risk accepted","Exception",IF(TODAY()&gt;H22,"Overdue","Within SLA"))))</f>
        <v/>
      </c>
      <c r="P22" s="8" t="n"/>
    </row>
    <row r="23" ht="28" customHeight="1">
      <c r="A23" s="8" t="n"/>
      <c r="B23" s="8" t="n"/>
      <c r="C23" s="8" t="n"/>
      <c r="D23" s="8" t="n"/>
      <c r="E23" s="8" t="n"/>
      <c r="F23" s="9" t="n"/>
      <c r="G23" s="8" t="n"/>
      <c r="H23" s="10">
        <f>IF(OR(E23="",G23=""),"",G23+IF(E23="Critical",7,IF(E23="High",30,IF(E23="Medium",90,180))))</f>
        <v/>
      </c>
      <c r="I23" s="8" t="n"/>
      <c r="J23" s="8" t="n"/>
      <c r="K23" s="8" t="n"/>
      <c r="L23" s="8" t="n"/>
      <c r="M23" s="8" t="n"/>
      <c r="N23" s="8" t="n"/>
      <c r="O23" s="11">
        <f>IF(H23="","",IF(OR(J23="Fixed",J23="Closed",J23="False positive"),"Closed",IF(J23="Risk accepted","Exception",IF(TODAY()&gt;H23,"Overdue","Within SLA"))))</f>
        <v/>
      </c>
      <c r="P23" s="8" t="n"/>
    </row>
    <row r="24" ht="28" customHeight="1">
      <c r="A24" s="8" t="n"/>
      <c r="B24" s="8" t="n"/>
      <c r="C24" s="8" t="n"/>
      <c r="D24" s="8" t="n"/>
      <c r="E24" s="8" t="n"/>
      <c r="F24" s="9" t="n"/>
      <c r="G24" s="8" t="n"/>
      <c r="H24" s="10">
        <f>IF(OR(E24="",G24=""),"",G24+IF(E24="Critical",7,IF(E24="High",30,IF(E24="Medium",90,180))))</f>
        <v/>
      </c>
      <c r="I24" s="8" t="n"/>
      <c r="J24" s="8" t="n"/>
      <c r="K24" s="8" t="n"/>
      <c r="L24" s="8" t="n"/>
      <c r="M24" s="8" t="n"/>
      <c r="N24" s="8" t="n"/>
      <c r="O24" s="11">
        <f>IF(H24="","",IF(OR(J24="Fixed",J24="Closed",J24="False positive"),"Closed",IF(J24="Risk accepted","Exception",IF(TODAY()&gt;H24,"Overdue","Within SLA"))))</f>
        <v/>
      </c>
      <c r="P24" s="8" t="n"/>
    </row>
    <row r="25" ht="28" customHeight="1">
      <c r="A25" s="8" t="n"/>
      <c r="B25" s="8" t="n"/>
      <c r="C25" s="8" t="n"/>
      <c r="D25" s="8" t="n"/>
      <c r="E25" s="8" t="n"/>
      <c r="F25" s="9" t="n"/>
      <c r="G25" s="8" t="n"/>
      <c r="H25" s="10">
        <f>IF(OR(E25="",G25=""),"",G25+IF(E25="Critical",7,IF(E25="High",30,IF(E25="Medium",90,180))))</f>
        <v/>
      </c>
      <c r="I25" s="8" t="n"/>
      <c r="J25" s="8" t="n"/>
      <c r="K25" s="8" t="n"/>
      <c r="L25" s="8" t="n"/>
      <c r="M25" s="8" t="n"/>
      <c r="N25" s="8" t="n"/>
      <c r="O25" s="11">
        <f>IF(H25="","",IF(OR(J25="Fixed",J25="Closed",J25="False positive"),"Closed",IF(J25="Risk accepted","Exception",IF(TODAY()&gt;H25,"Overdue","Within SLA"))))</f>
        <v/>
      </c>
      <c r="P25" s="8" t="n"/>
    </row>
    <row r="26" ht="28" customHeight="1">
      <c r="A26" s="8" t="n"/>
      <c r="B26" s="8" t="n"/>
      <c r="C26" s="8" t="n"/>
      <c r="D26" s="8" t="n"/>
      <c r="E26" s="8" t="n"/>
      <c r="F26" s="9" t="n"/>
      <c r="G26" s="8" t="n"/>
      <c r="H26" s="10">
        <f>IF(OR(E26="",G26=""),"",G26+IF(E26="Critical",7,IF(E26="High",30,IF(E26="Medium",90,180))))</f>
        <v/>
      </c>
      <c r="I26" s="8" t="n"/>
      <c r="J26" s="8" t="n"/>
      <c r="K26" s="8" t="n"/>
      <c r="L26" s="8" t="n"/>
      <c r="M26" s="8" t="n"/>
      <c r="N26" s="8" t="n"/>
      <c r="O26" s="11">
        <f>IF(H26="","",IF(OR(J26="Fixed",J26="Closed",J26="False positive"),"Closed",IF(J26="Risk accepted","Exception",IF(TODAY()&gt;H26,"Overdue","Within SLA"))))</f>
        <v/>
      </c>
      <c r="P26" s="8" t="n"/>
    </row>
    <row r="27" ht="28" customHeight="1">
      <c r="A27" s="8" t="n"/>
      <c r="B27" s="8" t="n"/>
      <c r="C27" s="8" t="n"/>
      <c r="D27" s="8" t="n"/>
      <c r="E27" s="8" t="n"/>
      <c r="F27" s="9" t="n"/>
      <c r="G27" s="8" t="n"/>
      <c r="H27" s="10">
        <f>IF(OR(E27="",G27=""),"",G27+IF(E27="Critical",7,IF(E27="High",30,IF(E27="Medium",90,180))))</f>
        <v/>
      </c>
      <c r="I27" s="8" t="n"/>
      <c r="J27" s="8" t="n"/>
      <c r="K27" s="8" t="n"/>
      <c r="L27" s="8" t="n"/>
      <c r="M27" s="8" t="n"/>
      <c r="N27" s="8" t="n"/>
      <c r="O27" s="11">
        <f>IF(H27="","",IF(OR(J27="Fixed",J27="Closed",J27="False positive"),"Closed",IF(J27="Risk accepted","Exception",IF(TODAY()&gt;H27,"Overdue","Within SLA"))))</f>
        <v/>
      </c>
      <c r="P27" s="8" t="n"/>
    </row>
    <row r="28" ht="28" customHeight="1">
      <c r="A28" s="8" t="n"/>
      <c r="B28" s="8" t="n"/>
      <c r="C28" s="8" t="n"/>
      <c r="D28" s="8" t="n"/>
      <c r="E28" s="8" t="n"/>
      <c r="F28" s="9" t="n"/>
      <c r="G28" s="8" t="n"/>
      <c r="H28" s="10">
        <f>IF(OR(E28="",G28=""),"",G28+IF(E28="Critical",7,IF(E28="High",30,IF(E28="Medium",90,180))))</f>
        <v/>
      </c>
      <c r="I28" s="8" t="n"/>
      <c r="J28" s="8" t="n"/>
      <c r="K28" s="8" t="n"/>
      <c r="L28" s="8" t="n"/>
      <c r="M28" s="8" t="n"/>
      <c r="N28" s="8" t="n"/>
      <c r="O28" s="11">
        <f>IF(H28="","",IF(OR(J28="Fixed",J28="Closed",J28="False positive"),"Closed",IF(J28="Risk accepted","Exception",IF(TODAY()&gt;H28,"Overdue","Within SLA"))))</f>
        <v/>
      </c>
      <c r="P28" s="8" t="n"/>
    </row>
    <row r="29" ht="28" customHeight="1">
      <c r="A29" s="8" t="n"/>
      <c r="B29" s="8" t="n"/>
      <c r="C29" s="8" t="n"/>
      <c r="D29" s="8" t="n"/>
      <c r="E29" s="8" t="n"/>
      <c r="F29" s="9" t="n"/>
      <c r="G29" s="8" t="n"/>
      <c r="H29" s="10">
        <f>IF(OR(E29="",G29=""),"",G29+IF(E29="Critical",7,IF(E29="High",30,IF(E29="Medium",90,180))))</f>
        <v/>
      </c>
      <c r="I29" s="8" t="n"/>
      <c r="J29" s="8" t="n"/>
      <c r="K29" s="8" t="n"/>
      <c r="L29" s="8" t="n"/>
      <c r="M29" s="8" t="n"/>
      <c r="N29" s="8" t="n"/>
      <c r="O29" s="11">
        <f>IF(H29="","",IF(OR(J29="Fixed",J29="Closed",J29="False positive"),"Closed",IF(J29="Risk accepted","Exception",IF(TODAY()&gt;H29,"Overdue","Within SLA"))))</f>
        <v/>
      </c>
      <c r="P29" s="8" t="n"/>
    </row>
    <row r="30" ht="28" customHeight="1">
      <c r="A30" s="8" t="n"/>
      <c r="B30" s="8" t="n"/>
      <c r="C30" s="8" t="n"/>
      <c r="D30" s="8" t="n"/>
      <c r="E30" s="8" t="n"/>
      <c r="F30" s="9" t="n"/>
      <c r="G30" s="8" t="n"/>
      <c r="H30" s="10">
        <f>IF(OR(E30="",G30=""),"",G30+IF(E30="Critical",7,IF(E30="High",30,IF(E30="Medium",90,180))))</f>
        <v/>
      </c>
      <c r="I30" s="8" t="n"/>
      <c r="J30" s="8" t="n"/>
      <c r="K30" s="8" t="n"/>
      <c r="L30" s="8" t="n"/>
      <c r="M30" s="8" t="n"/>
      <c r="N30" s="8" t="n"/>
      <c r="O30" s="11">
        <f>IF(H30="","",IF(OR(J30="Fixed",J30="Closed",J30="False positive"),"Closed",IF(J30="Risk accepted","Exception",IF(TODAY()&gt;H30,"Overdue","Within SLA"))))</f>
        <v/>
      </c>
      <c r="P30" s="8" t="n"/>
    </row>
    <row r="31" ht="28" customHeight="1">
      <c r="A31" s="8" t="n"/>
      <c r="B31" s="8" t="n"/>
      <c r="C31" s="8" t="n"/>
      <c r="D31" s="8" t="n"/>
      <c r="E31" s="8" t="n"/>
      <c r="F31" s="9" t="n"/>
      <c r="G31" s="8" t="n"/>
      <c r="H31" s="10">
        <f>IF(OR(E31="",G31=""),"",G31+IF(E31="Critical",7,IF(E31="High",30,IF(E31="Medium",90,180))))</f>
        <v/>
      </c>
      <c r="I31" s="8" t="n"/>
      <c r="J31" s="8" t="n"/>
      <c r="K31" s="8" t="n"/>
      <c r="L31" s="8" t="n"/>
      <c r="M31" s="8" t="n"/>
      <c r="N31" s="8" t="n"/>
      <c r="O31" s="11">
        <f>IF(H31="","",IF(OR(J31="Fixed",J31="Closed",J31="False positive"),"Closed",IF(J31="Risk accepted","Exception",IF(TODAY()&gt;H31,"Overdue","Within SLA"))))</f>
        <v/>
      </c>
      <c r="P31" s="8" t="n"/>
    </row>
    <row r="32" ht="28" customHeight="1">
      <c r="A32" s="8" t="n"/>
      <c r="B32" s="8" t="n"/>
      <c r="C32" s="8" t="n"/>
      <c r="D32" s="8" t="n"/>
      <c r="E32" s="8" t="n"/>
      <c r="F32" s="9" t="n"/>
      <c r="G32" s="8" t="n"/>
      <c r="H32" s="10">
        <f>IF(OR(E32="",G32=""),"",G32+IF(E32="Critical",7,IF(E32="High",30,IF(E32="Medium",90,180))))</f>
        <v/>
      </c>
      <c r="I32" s="8" t="n"/>
      <c r="J32" s="8" t="n"/>
      <c r="K32" s="8" t="n"/>
      <c r="L32" s="8" t="n"/>
      <c r="M32" s="8" t="n"/>
      <c r="N32" s="8" t="n"/>
      <c r="O32" s="11">
        <f>IF(H32="","",IF(OR(J32="Fixed",J32="Closed",J32="False positive"),"Closed",IF(J32="Risk accepted","Exception",IF(TODAY()&gt;H32,"Overdue","Within SLA"))))</f>
        <v/>
      </c>
      <c r="P32" s="8" t="n"/>
    </row>
    <row r="33" ht="28" customHeight="1">
      <c r="A33" s="8" t="n"/>
      <c r="B33" s="8" t="n"/>
      <c r="C33" s="8" t="n"/>
      <c r="D33" s="8" t="n"/>
      <c r="E33" s="8" t="n"/>
      <c r="F33" s="9" t="n"/>
      <c r="G33" s="8" t="n"/>
      <c r="H33" s="10">
        <f>IF(OR(E33="",G33=""),"",G33+IF(E33="Critical",7,IF(E33="High",30,IF(E33="Medium",90,180))))</f>
        <v/>
      </c>
      <c r="I33" s="8" t="n"/>
      <c r="J33" s="8" t="n"/>
      <c r="K33" s="8" t="n"/>
      <c r="L33" s="8" t="n"/>
      <c r="M33" s="8" t="n"/>
      <c r="N33" s="8" t="n"/>
      <c r="O33" s="11">
        <f>IF(H33="","",IF(OR(J33="Fixed",J33="Closed",J33="False positive"),"Closed",IF(J33="Risk accepted","Exception",IF(TODAY()&gt;H33,"Overdue","Within SLA"))))</f>
        <v/>
      </c>
      <c r="P33" s="8" t="n"/>
    </row>
    <row r="34" ht="28" customHeight="1">
      <c r="A34" s="8" t="n"/>
      <c r="B34" s="8" t="n"/>
      <c r="C34" s="8" t="n"/>
      <c r="D34" s="8" t="n"/>
      <c r="E34" s="8" t="n"/>
      <c r="F34" s="9" t="n"/>
      <c r="G34" s="8" t="n"/>
      <c r="H34" s="10">
        <f>IF(OR(E34="",G34=""),"",G34+IF(E34="Critical",7,IF(E34="High",30,IF(E34="Medium",90,180))))</f>
        <v/>
      </c>
      <c r="I34" s="8" t="n"/>
      <c r="J34" s="8" t="n"/>
      <c r="K34" s="8" t="n"/>
      <c r="L34" s="8" t="n"/>
      <c r="M34" s="8" t="n"/>
      <c r="N34" s="8" t="n"/>
      <c r="O34" s="11">
        <f>IF(H34="","",IF(OR(J34="Fixed",J34="Closed",J34="False positive"),"Closed",IF(J34="Risk accepted","Exception",IF(TODAY()&gt;H34,"Overdue","Within SLA"))))</f>
        <v/>
      </c>
      <c r="P34" s="8" t="n"/>
    </row>
    <row r="35" ht="28" customHeight="1">
      <c r="A35" s="8" t="n"/>
      <c r="B35" s="8" t="n"/>
      <c r="C35" s="8" t="n"/>
      <c r="D35" s="8" t="n"/>
      <c r="E35" s="8" t="n"/>
      <c r="F35" s="9" t="n"/>
      <c r="G35" s="8" t="n"/>
      <c r="H35" s="10">
        <f>IF(OR(E35="",G35=""),"",G35+IF(E35="Critical",7,IF(E35="High",30,IF(E35="Medium",90,180))))</f>
        <v/>
      </c>
      <c r="I35" s="8" t="n"/>
      <c r="J35" s="8" t="n"/>
      <c r="K35" s="8" t="n"/>
      <c r="L35" s="8" t="n"/>
      <c r="M35" s="8" t="n"/>
      <c r="N35" s="8" t="n"/>
      <c r="O35" s="11">
        <f>IF(H35="","",IF(OR(J35="Fixed",J35="Closed",J35="False positive"),"Closed",IF(J35="Risk accepted","Exception",IF(TODAY()&gt;H35,"Overdue","Within SLA"))))</f>
        <v/>
      </c>
      <c r="P35" s="8" t="n"/>
    </row>
    <row r="36" ht="28" customHeight="1">
      <c r="A36" s="8" t="n"/>
      <c r="B36" s="8" t="n"/>
      <c r="C36" s="8" t="n"/>
      <c r="D36" s="8" t="n"/>
      <c r="E36" s="8" t="n"/>
      <c r="F36" s="9" t="n"/>
      <c r="G36" s="8" t="n"/>
      <c r="H36" s="10">
        <f>IF(OR(E36="",G36=""),"",G36+IF(E36="Critical",7,IF(E36="High",30,IF(E36="Medium",90,180))))</f>
        <v/>
      </c>
      <c r="I36" s="8" t="n"/>
      <c r="J36" s="8" t="n"/>
      <c r="K36" s="8" t="n"/>
      <c r="L36" s="8" t="n"/>
      <c r="M36" s="8" t="n"/>
      <c r="N36" s="8" t="n"/>
      <c r="O36" s="11">
        <f>IF(H36="","",IF(OR(J36="Fixed",J36="Closed",J36="False positive"),"Closed",IF(J36="Risk accepted","Exception",IF(TODAY()&gt;H36,"Overdue","Within SLA"))))</f>
        <v/>
      </c>
      <c r="P36" s="8" t="n"/>
    </row>
    <row r="37" ht="28" customHeight="1">
      <c r="A37" s="8" t="n"/>
      <c r="B37" s="8" t="n"/>
      <c r="C37" s="8" t="n"/>
      <c r="D37" s="8" t="n"/>
      <c r="E37" s="8" t="n"/>
      <c r="F37" s="9" t="n"/>
      <c r="G37" s="8" t="n"/>
      <c r="H37" s="10">
        <f>IF(OR(E37="",G37=""),"",G37+IF(E37="Critical",7,IF(E37="High",30,IF(E37="Medium",90,180))))</f>
        <v/>
      </c>
      <c r="I37" s="8" t="n"/>
      <c r="J37" s="8" t="n"/>
      <c r="K37" s="8" t="n"/>
      <c r="L37" s="8" t="n"/>
      <c r="M37" s="8" t="n"/>
      <c r="N37" s="8" t="n"/>
      <c r="O37" s="11">
        <f>IF(H37="","",IF(OR(J37="Fixed",J37="Closed",J37="False positive"),"Closed",IF(J37="Risk accepted","Exception",IF(TODAY()&gt;H37,"Overdue","Within SLA"))))</f>
        <v/>
      </c>
      <c r="P37" s="8" t="n"/>
    </row>
    <row r="38" ht="28" customHeight="1">
      <c r="A38" s="8" t="n"/>
      <c r="B38" s="8" t="n"/>
      <c r="C38" s="8" t="n"/>
      <c r="D38" s="8" t="n"/>
      <c r="E38" s="8" t="n"/>
      <c r="F38" s="9" t="n"/>
      <c r="G38" s="8" t="n"/>
      <c r="H38" s="10">
        <f>IF(OR(E38="",G38=""),"",G38+IF(E38="Critical",7,IF(E38="High",30,IF(E38="Medium",90,180))))</f>
        <v/>
      </c>
      <c r="I38" s="8" t="n"/>
      <c r="J38" s="8" t="n"/>
      <c r="K38" s="8" t="n"/>
      <c r="L38" s="8" t="n"/>
      <c r="M38" s="8" t="n"/>
      <c r="N38" s="8" t="n"/>
      <c r="O38" s="11">
        <f>IF(H38="","",IF(OR(J38="Fixed",J38="Closed",J38="False positive"),"Closed",IF(J38="Risk accepted","Exception",IF(TODAY()&gt;H38,"Overdue","Within SLA"))))</f>
        <v/>
      </c>
      <c r="P38" s="8" t="n"/>
    </row>
    <row r="39" ht="28" customHeight="1">
      <c r="A39" s="8" t="n"/>
      <c r="B39" s="8" t="n"/>
      <c r="C39" s="8" t="n"/>
      <c r="D39" s="8" t="n"/>
      <c r="E39" s="8" t="n"/>
      <c r="F39" s="9" t="n"/>
      <c r="G39" s="8" t="n"/>
      <c r="H39" s="10">
        <f>IF(OR(E39="",G39=""),"",G39+IF(E39="Critical",7,IF(E39="High",30,IF(E39="Medium",90,180))))</f>
        <v/>
      </c>
      <c r="I39" s="8" t="n"/>
      <c r="J39" s="8" t="n"/>
      <c r="K39" s="8" t="n"/>
      <c r="L39" s="8" t="n"/>
      <c r="M39" s="8" t="n"/>
      <c r="N39" s="8" t="n"/>
      <c r="O39" s="11">
        <f>IF(H39="","",IF(OR(J39="Fixed",J39="Closed",J39="False positive"),"Closed",IF(J39="Risk accepted","Exception",IF(TODAY()&gt;H39,"Overdue","Within SLA"))))</f>
        <v/>
      </c>
      <c r="P39" s="8" t="n"/>
    </row>
    <row r="40" ht="28" customHeight="1">
      <c r="A40" s="8" t="n"/>
      <c r="B40" s="8" t="n"/>
      <c r="C40" s="8" t="n"/>
      <c r="D40" s="8" t="n"/>
      <c r="E40" s="8" t="n"/>
      <c r="F40" s="9" t="n"/>
      <c r="G40" s="8" t="n"/>
      <c r="H40" s="10">
        <f>IF(OR(E40="",G40=""),"",G40+IF(E40="Critical",7,IF(E40="High",30,IF(E40="Medium",90,180))))</f>
        <v/>
      </c>
      <c r="I40" s="8" t="n"/>
      <c r="J40" s="8" t="n"/>
      <c r="K40" s="8" t="n"/>
      <c r="L40" s="8" t="n"/>
      <c r="M40" s="8" t="n"/>
      <c r="N40" s="8" t="n"/>
      <c r="O40" s="11">
        <f>IF(H40="","",IF(OR(J40="Fixed",J40="Closed",J40="False positive"),"Closed",IF(J40="Risk accepted","Exception",IF(TODAY()&gt;H40,"Overdue","Within SLA"))))</f>
        <v/>
      </c>
      <c r="P40" s="8" t="n"/>
    </row>
    <row r="41" ht="28" customHeight="1">
      <c r="A41" s="8" t="n"/>
      <c r="B41" s="8" t="n"/>
      <c r="C41" s="8" t="n"/>
      <c r="D41" s="8" t="n"/>
      <c r="E41" s="8" t="n"/>
      <c r="F41" s="9" t="n"/>
      <c r="G41" s="8" t="n"/>
      <c r="H41" s="10">
        <f>IF(OR(E41="",G41=""),"",G41+IF(E41="Critical",7,IF(E41="High",30,IF(E41="Medium",90,180))))</f>
        <v/>
      </c>
      <c r="I41" s="8" t="n"/>
      <c r="J41" s="8" t="n"/>
      <c r="K41" s="8" t="n"/>
      <c r="L41" s="8" t="n"/>
      <c r="M41" s="8" t="n"/>
      <c r="N41" s="8" t="n"/>
      <c r="O41" s="11">
        <f>IF(H41="","",IF(OR(J41="Fixed",J41="Closed",J41="False positive"),"Closed",IF(J41="Risk accepted","Exception",IF(TODAY()&gt;H41,"Overdue","Within SLA"))))</f>
        <v/>
      </c>
      <c r="P41" s="8" t="n"/>
    </row>
    <row r="42" ht="28" customHeight="1">
      <c r="A42" s="8" t="n"/>
      <c r="B42" s="8" t="n"/>
      <c r="C42" s="8" t="n"/>
      <c r="D42" s="8" t="n"/>
      <c r="E42" s="8" t="n"/>
      <c r="F42" s="9" t="n"/>
      <c r="G42" s="8" t="n"/>
      <c r="H42" s="10">
        <f>IF(OR(E42="",G42=""),"",G42+IF(E42="Critical",7,IF(E42="High",30,IF(E42="Medium",90,180))))</f>
        <v/>
      </c>
      <c r="I42" s="8" t="n"/>
      <c r="J42" s="8" t="n"/>
      <c r="K42" s="8" t="n"/>
      <c r="L42" s="8" t="n"/>
      <c r="M42" s="8" t="n"/>
      <c r="N42" s="8" t="n"/>
      <c r="O42" s="11">
        <f>IF(H42="","",IF(OR(J42="Fixed",J42="Closed",J42="False positive"),"Closed",IF(J42="Risk accepted","Exception",IF(TODAY()&gt;H42,"Overdue","Within SLA"))))</f>
        <v/>
      </c>
      <c r="P42" s="8" t="n"/>
    </row>
    <row r="43" ht="28" customHeight="1">
      <c r="A43" s="8" t="n"/>
      <c r="B43" s="8" t="n"/>
      <c r="C43" s="8" t="n"/>
      <c r="D43" s="8" t="n"/>
      <c r="E43" s="8" t="n"/>
      <c r="F43" s="9" t="n"/>
      <c r="G43" s="8" t="n"/>
      <c r="H43" s="10">
        <f>IF(OR(E43="",G43=""),"",G43+IF(E43="Critical",7,IF(E43="High",30,IF(E43="Medium",90,180))))</f>
        <v/>
      </c>
      <c r="I43" s="8" t="n"/>
      <c r="J43" s="8" t="n"/>
      <c r="K43" s="8" t="n"/>
      <c r="L43" s="8" t="n"/>
      <c r="M43" s="8" t="n"/>
      <c r="N43" s="8" t="n"/>
      <c r="O43" s="11">
        <f>IF(H43="","",IF(OR(J43="Fixed",J43="Closed",J43="False positive"),"Closed",IF(J43="Risk accepted","Exception",IF(TODAY()&gt;H43,"Overdue","Within SLA"))))</f>
        <v/>
      </c>
      <c r="P43" s="8" t="n"/>
    </row>
    <row r="44" ht="28" customHeight="1">
      <c r="A44" s="8" t="n"/>
      <c r="B44" s="8" t="n"/>
      <c r="C44" s="8" t="n"/>
      <c r="D44" s="8" t="n"/>
      <c r="E44" s="8" t="n"/>
      <c r="F44" s="9" t="n"/>
      <c r="G44" s="8" t="n"/>
      <c r="H44" s="10">
        <f>IF(OR(E44="",G44=""),"",G44+IF(E44="Critical",7,IF(E44="High",30,IF(E44="Medium",90,180))))</f>
        <v/>
      </c>
      <c r="I44" s="8" t="n"/>
      <c r="J44" s="8" t="n"/>
      <c r="K44" s="8" t="n"/>
      <c r="L44" s="8" t="n"/>
      <c r="M44" s="8" t="n"/>
      <c r="N44" s="8" t="n"/>
      <c r="O44" s="11">
        <f>IF(H44="","",IF(OR(J44="Fixed",J44="Closed",J44="False positive"),"Closed",IF(J44="Risk accepted","Exception",IF(TODAY()&gt;H44,"Overdue","Within SLA"))))</f>
        <v/>
      </c>
      <c r="P44" s="8" t="n"/>
    </row>
    <row r="45" ht="28" customHeight="1">
      <c r="A45" s="8" t="n"/>
      <c r="B45" s="8" t="n"/>
      <c r="C45" s="8" t="n"/>
      <c r="D45" s="8" t="n"/>
      <c r="E45" s="8" t="n"/>
      <c r="F45" s="9" t="n"/>
      <c r="G45" s="8" t="n"/>
      <c r="H45" s="10">
        <f>IF(OR(E45="",G45=""),"",G45+IF(E45="Critical",7,IF(E45="High",30,IF(E45="Medium",90,180))))</f>
        <v/>
      </c>
      <c r="I45" s="8" t="n"/>
      <c r="J45" s="8" t="n"/>
      <c r="K45" s="8" t="n"/>
      <c r="L45" s="8" t="n"/>
      <c r="M45" s="8" t="n"/>
      <c r="N45" s="8" t="n"/>
      <c r="O45" s="11">
        <f>IF(H45="","",IF(OR(J45="Fixed",J45="Closed",J45="False positive"),"Closed",IF(J45="Risk accepted","Exception",IF(TODAY()&gt;H45,"Overdue","Within SLA"))))</f>
        <v/>
      </c>
      <c r="P45" s="8" t="n"/>
    </row>
    <row r="46" ht="28" customHeight="1">
      <c r="A46" s="8" t="n"/>
      <c r="B46" s="8" t="n"/>
      <c r="C46" s="8" t="n"/>
      <c r="D46" s="8" t="n"/>
      <c r="E46" s="8" t="n"/>
      <c r="F46" s="9" t="n"/>
      <c r="G46" s="8" t="n"/>
      <c r="H46" s="10">
        <f>IF(OR(E46="",G46=""),"",G46+IF(E46="Critical",7,IF(E46="High",30,IF(E46="Medium",90,180))))</f>
        <v/>
      </c>
      <c r="I46" s="8" t="n"/>
      <c r="J46" s="8" t="n"/>
      <c r="K46" s="8" t="n"/>
      <c r="L46" s="8" t="n"/>
      <c r="M46" s="8" t="n"/>
      <c r="N46" s="8" t="n"/>
      <c r="O46" s="11">
        <f>IF(H46="","",IF(OR(J46="Fixed",J46="Closed",J46="False positive"),"Closed",IF(J46="Risk accepted","Exception",IF(TODAY()&gt;H46,"Overdue","Within SLA"))))</f>
        <v/>
      </c>
      <c r="P46" s="8" t="n"/>
    </row>
    <row r="47" ht="28" customHeight="1">
      <c r="A47" s="8" t="n"/>
      <c r="B47" s="8" t="n"/>
      <c r="C47" s="8" t="n"/>
      <c r="D47" s="8" t="n"/>
      <c r="E47" s="8" t="n"/>
      <c r="F47" s="9" t="n"/>
      <c r="G47" s="8" t="n"/>
      <c r="H47" s="10">
        <f>IF(OR(E47="",G47=""),"",G47+IF(E47="Critical",7,IF(E47="High",30,IF(E47="Medium",90,180))))</f>
        <v/>
      </c>
      <c r="I47" s="8" t="n"/>
      <c r="J47" s="8" t="n"/>
      <c r="K47" s="8" t="n"/>
      <c r="L47" s="8" t="n"/>
      <c r="M47" s="8" t="n"/>
      <c r="N47" s="8" t="n"/>
      <c r="O47" s="11">
        <f>IF(H47="","",IF(OR(J47="Fixed",J47="Closed",J47="False positive"),"Closed",IF(J47="Risk accepted","Exception",IF(TODAY()&gt;H47,"Overdue","Within SLA"))))</f>
        <v/>
      </c>
      <c r="P47" s="8" t="n"/>
    </row>
    <row r="48" ht="28" customHeight="1">
      <c r="A48" s="8" t="n"/>
      <c r="B48" s="8" t="n"/>
      <c r="C48" s="8" t="n"/>
      <c r="D48" s="8" t="n"/>
      <c r="E48" s="8" t="n"/>
      <c r="F48" s="9" t="n"/>
      <c r="G48" s="8" t="n"/>
      <c r="H48" s="10">
        <f>IF(OR(E48="",G48=""),"",G48+IF(E48="Critical",7,IF(E48="High",30,IF(E48="Medium",90,180))))</f>
        <v/>
      </c>
      <c r="I48" s="8" t="n"/>
      <c r="J48" s="8" t="n"/>
      <c r="K48" s="8" t="n"/>
      <c r="L48" s="8" t="n"/>
      <c r="M48" s="8" t="n"/>
      <c r="N48" s="8" t="n"/>
      <c r="O48" s="11">
        <f>IF(H48="","",IF(OR(J48="Fixed",J48="Closed",J48="False positive"),"Closed",IF(J48="Risk accepted","Exception",IF(TODAY()&gt;H48,"Overdue","Within SLA"))))</f>
        <v/>
      </c>
      <c r="P48" s="8" t="n"/>
    </row>
    <row r="49" ht="28" customHeight="1">
      <c r="A49" s="8" t="n"/>
      <c r="B49" s="8" t="n"/>
      <c r="C49" s="8" t="n"/>
      <c r="D49" s="8" t="n"/>
      <c r="E49" s="8" t="n"/>
      <c r="F49" s="9" t="n"/>
      <c r="G49" s="8" t="n"/>
      <c r="H49" s="10">
        <f>IF(OR(E49="",G49=""),"",G49+IF(E49="Critical",7,IF(E49="High",30,IF(E49="Medium",90,180))))</f>
        <v/>
      </c>
      <c r="I49" s="8" t="n"/>
      <c r="J49" s="8" t="n"/>
      <c r="K49" s="8" t="n"/>
      <c r="L49" s="8" t="n"/>
      <c r="M49" s="8" t="n"/>
      <c r="N49" s="8" t="n"/>
      <c r="O49" s="11">
        <f>IF(H49="","",IF(OR(J49="Fixed",J49="Closed",J49="False positive"),"Closed",IF(J49="Risk accepted","Exception",IF(TODAY()&gt;H49,"Overdue","Within SLA"))))</f>
        <v/>
      </c>
      <c r="P49" s="8" t="n"/>
    </row>
    <row r="50" ht="28" customHeight="1">
      <c r="A50" s="8" t="n"/>
      <c r="B50" s="8" t="n"/>
      <c r="C50" s="8" t="n"/>
      <c r="D50" s="8" t="n"/>
      <c r="E50" s="8" t="n"/>
      <c r="F50" s="9" t="n"/>
      <c r="G50" s="8" t="n"/>
      <c r="H50" s="10">
        <f>IF(OR(E50="",G50=""),"",G50+IF(E50="Critical",7,IF(E50="High",30,IF(E50="Medium",90,180))))</f>
        <v/>
      </c>
      <c r="I50" s="8" t="n"/>
      <c r="J50" s="8" t="n"/>
      <c r="K50" s="8" t="n"/>
      <c r="L50" s="8" t="n"/>
      <c r="M50" s="8" t="n"/>
      <c r="N50" s="8" t="n"/>
      <c r="O50" s="11">
        <f>IF(H50="","",IF(OR(J50="Fixed",J50="Closed",J50="False positive"),"Closed",IF(J50="Risk accepted","Exception",IF(TODAY()&gt;H50,"Overdue","Within SLA"))))</f>
        <v/>
      </c>
      <c r="P50" s="8" t="n"/>
    </row>
    <row r="51" ht="28" customHeight="1">
      <c r="A51" s="8" t="n"/>
      <c r="B51" s="8" t="n"/>
      <c r="C51" s="8" t="n"/>
      <c r="D51" s="8" t="n"/>
      <c r="E51" s="8" t="n"/>
      <c r="F51" s="9" t="n"/>
      <c r="G51" s="8" t="n"/>
      <c r="H51" s="10">
        <f>IF(OR(E51="",G51=""),"",G51+IF(E51="Critical",7,IF(E51="High",30,IF(E51="Medium",90,180))))</f>
        <v/>
      </c>
      <c r="I51" s="8" t="n"/>
      <c r="J51" s="8" t="n"/>
      <c r="K51" s="8" t="n"/>
      <c r="L51" s="8" t="n"/>
      <c r="M51" s="8" t="n"/>
      <c r="N51" s="8" t="n"/>
      <c r="O51" s="11">
        <f>IF(H51="","",IF(OR(J51="Fixed",J51="Closed",J51="False positive"),"Closed",IF(J51="Risk accepted","Exception",IF(TODAY()&gt;H51,"Overdue","Within SLA"))))</f>
        <v/>
      </c>
      <c r="P51" s="8" t="n"/>
    </row>
    <row r="52" ht="28" customHeight="1">
      <c r="A52" s="8" t="n"/>
      <c r="B52" s="8" t="n"/>
      <c r="C52" s="8" t="n"/>
      <c r="D52" s="8" t="n"/>
      <c r="E52" s="8" t="n"/>
      <c r="F52" s="9" t="n"/>
      <c r="G52" s="8" t="n"/>
      <c r="H52" s="10">
        <f>IF(OR(E52="",G52=""),"",G52+IF(E52="Critical",7,IF(E52="High",30,IF(E52="Medium",90,180))))</f>
        <v/>
      </c>
      <c r="I52" s="8" t="n"/>
      <c r="J52" s="8" t="n"/>
      <c r="K52" s="8" t="n"/>
      <c r="L52" s="8" t="n"/>
      <c r="M52" s="8" t="n"/>
      <c r="N52" s="8" t="n"/>
      <c r="O52" s="11">
        <f>IF(H52="","",IF(OR(J52="Fixed",J52="Closed",J52="False positive"),"Closed",IF(J52="Risk accepted","Exception",IF(TODAY()&gt;H52,"Overdue","Within SLA"))))</f>
        <v/>
      </c>
      <c r="P52" s="8" t="n"/>
    </row>
    <row r="53" ht="28" customHeight="1">
      <c r="A53" s="8" t="n"/>
      <c r="B53" s="8" t="n"/>
      <c r="C53" s="8" t="n"/>
      <c r="D53" s="8" t="n"/>
      <c r="E53" s="8" t="n"/>
      <c r="F53" s="9" t="n"/>
      <c r="G53" s="8" t="n"/>
      <c r="H53" s="10">
        <f>IF(OR(E53="",G53=""),"",G53+IF(E53="Critical",7,IF(E53="High",30,IF(E53="Medium",90,180))))</f>
        <v/>
      </c>
      <c r="I53" s="8" t="n"/>
      <c r="J53" s="8" t="n"/>
      <c r="K53" s="8" t="n"/>
      <c r="L53" s="8" t="n"/>
      <c r="M53" s="8" t="n"/>
      <c r="N53" s="8" t="n"/>
      <c r="O53" s="11">
        <f>IF(H53="","",IF(OR(J53="Fixed",J53="Closed",J53="False positive"),"Closed",IF(J53="Risk accepted","Exception",IF(TODAY()&gt;H53,"Overdue","Within SLA"))))</f>
        <v/>
      </c>
      <c r="P53" s="8" t="n"/>
    </row>
    <row r="54" ht="28" customHeight="1">
      <c r="A54" s="8" t="n"/>
      <c r="B54" s="8" t="n"/>
      <c r="C54" s="8" t="n"/>
      <c r="D54" s="8" t="n"/>
      <c r="E54" s="8" t="n"/>
      <c r="F54" s="9" t="n"/>
      <c r="G54" s="8" t="n"/>
      <c r="H54" s="10">
        <f>IF(OR(E54="",G54=""),"",G54+IF(E54="Critical",7,IF(E54="High",30,IF(E54="Medium",90,180))))</f>
        <v/>
      </c>
      <c r="I54" s="8" t="n"/>
      <c r="J54" s="8" t="n"/>
      <c r="K54" s="8" t="n"/>
      <c r="L54" s="8" t="n"/>
      <c r="M54" s="8" t="n"/>
      <c r="N54" s="8" t="n"/>
      <c r="O54" s="11">
        <f>IF(H54="","",IF(OR(J54="Fixed",J54="Closed",J54="False positive"),"Closed",IF(J54="Risk accepted","Exception",IF(TODAY()&gt;H54,"Overdue","Within SLA"))))</f>
        <v/>
      </c>
      <c r="P54" s="8" t="n"/>
    </row>
    <row r="55" ht="28" customHeight="1">
      <c r="A55" s="8" t="n"/>
      <c r="B55" s="8" t="n"/>
      <c r="C55" s="8" t="n"/>
      <c r="D55" s="8" t="n"/>
      <c r="E55" s="8" t="n"/>
      <c r="F55" s="9" t="n"/>
      <c r="G55" s="8" t="n"/>
      <c r="H55" s="10">
        <f>IF(OR(E55="",G55=""),"",G55+IF(E55="Critical",7,IF(E55="High",30,IF(E55="Medium",90,180))))</f>
        <v/>
      </c>
      <c r="I55" s="8" t="n"/>
      <c r="J55" s="8" t="n"/>
      <c r="K55" s="8" t="n"/>
      <c r="L55" s="8" t="n"/>
      <c r="M55" s="8" t="n"/>
      <c r="N55" s="8" t="n"/>
      <c r="O55" s="11">
        <f>IF(H55="","",IF(OR(J55="Fixed",J55="Closed",J55="False positive"),"Closed",IF(J55="Risk accepted","Exception",IF(TODAY()&gt;H55,"Overdue","Within SLA"))))</f>
        <v/>
      </c>
      <c r="P55" s="8" t="n"/>
    </row>
    <row r="56" ht="28" customHeight="1">
      <c r="A56" s="8" t="n"/>
      <c r="B56" s="8" t="n"/>
      <c r="C56" s="8" t="n"/>
      <c r="D56" s="8" t="n"/>
      <c r="E56" s="8" t="n"/>
      <c r="F56" s="9" t="n"/>
      <c r="G56" s="8" t="n"/>
      <c r="H56" s="10">
        <f>IF(OR(E56="",G56=""),"",G56+IF(E56="Critical",7,IF(E56="High",30,IF(E56="Medium",90,180))))</f>
        <v/>
      </c>
      <c r="I56" s="8" t="n"/>
      <c r="J56" s="8" t="n"/>
      <c r="K56" s="8" t="n"/>
      <c r="L56" s="8" t="n"/>
      <c r="M56" s="8" t="n"/>
      <c r="N56" s="8" t="n"/>
      <c r="O56" s="11">
        <f>IF(H56="","",IF(OR(J56="Fixed",J56="Closed",J56="False positive"),"Closed",IF(J56="Risk accepted","Exception",IF(TODAY()&gt;H56,"Overdue","Within SLA"))))</f>
        <v/>
      </c>
      <c r="P56" s="8" t="n"/>
    </row>
    <row r="57" ht="28" customHeight="1">
      <c r="A57" s="8" t="n"/>
      <c r="B57" s="8" t="n"/>
      <c r="C57" s="8" t="n"/>
      <c r="D57" s="8" t="n"/>
      <c r="E57" s="8" t="n"/>
      <c r="F57" s="9" t="n"/>
      <c r="G57" s="8" t="n"/>
      <c r="H57" s="10">
        <f>IF(OR(E57="",G57=""),"",G57+IF(E57="Critical",7,IF(E57="High",30,IF(E57="Medium",90,180))))</f>
        <v/>
      </c>
      <c r="I57" s="8" t="n"/>
      <c r="J57" s="8" t="n"/>
      <c r="K57" s="8" t="n"/>
      <c r="L57" s="8" t="n"/>
      <c r="M57" s="8" t="n"/>
      <c r="N57" s="8" t="n"/>
      <c r="O57" s="11">
        <f>IF(H57="","",IF(OR(J57="Fixed",J57="Closed",J57="False positive"),"Closed",IF(J57="Risk accepted","Exception",IF(TODAY()&gt;H57,"Overdue","Within SLA"))))</f>
        <v/>
      </c>
      <c r="P57" s="8" t="n"/>
    </row>
    <row r="58" ht="28" customHeight="1">
      <c r="A58" s="8" t="n"/>
      <c r="B58" s="8" t="n"/>
      <c r="C58" s="8" t="n"/>
      <c r="D58" s="8" t="n"/>
      <c r="E58" s="8" t="n"/>
      <c r="F58" s="9" t="n"/>
      <c r="G58" s="8" t="n"/>
      <c r="H58" s="10">
        <f>IF(OR(E58="",G58=""),"",G58+IF(E58="Critical",7,IF(E58="High",30,IF(E58="Medium",90,180))))</f>
        <v/>
      </c>
      <c r="I58" s="8" t="n"/>
      <c r="J58" s="8" t="n"/>
      <c r="K58" s="8" t="n"/>
      <c r="L58" s="8" t="n"/>
      <c r="M58" s="8" t="n"/>
      <c r="N58" s="8" t="n"/>
      <c r="O58" s="11">
        <f>IF(H58="","",IF(OR(J58="Fixed",J58="Closed",J58="False positive"),"Closed",IF(J58="Risk accepted","Exception",IF(TODAY()&gt;H58,"Overdue","Within SLA"))))</f>
        <v/>
      </c>
      <c r="P58" s="8" t="n"/>
    </row>
    <row r="59" ht="28" customHeight="1">
      <c r="A59" s="8" t="n"/>
      <c r="B59" s="8" t="n"/>
      <c r="C59" s="8" t="n"/>
      <c r="D59" s="8" t="n"/>
      <c r="E59" s="8" t="n"/>
      <c r="F59" s="9" t="n"/>
      <c r="G59" s="8" t="n"/>
      <c r="H59" s="10">
        <f>IF(OR(E59="",G59=""),"",G59+IF(E59="Critical",7,IF(E59="High",30,IF(E59="Medium",90,180))))</f>
        <v/>
      </c>
      <c r="I59" s="8" t="n"/>
      <c r="J59" s="8" t="n"/>
      <c r="K59" s="8" t="n"/>
      <c r="L59" s="8" t="n"/>
      <c r="M59" s="8" t="n"/>
      <c r="N59" s="8" t="n"/>
      <c r="O59" s="11">
        <f>IF(H59="","",IF(OR(J59="Fixed",J59="Closed",J59="False positive"),"Closed",IF(J59="Risk accepted","Exception",IF(TODAY()&gt;H59,"Overdue","Within SLA"))))</f>
        <v/>
      </c>
      <c r="P59" s="8" t="n"/>
    </row>
    <row r="60" ht="28" customHeight="1">
      <c r="A60" s="8" t="n"/>
      <c r="B60" s="8" t="n"/>
      <c r="C60" s="8" t="n"/>
      <c r="D60" s="8" t="n"/>
      <c r="E60" s="8" t="n"/>
      <c r="F60" s="9" t="n"/>
      <c r="G60" s="8" t="n"/>
      <c r="H60" s="10">
        <f>IF(OR(E60="",G60=""),"",G60+IF(E60="Critical",7,IF(E60="High",30,IF(E60="Medium",90,180))))</f>
        <v/>
      </c>
      <c r="I60" s="8" t="n"/>
      <c r="J60" s="8" t="n"/>
      <c r="K60" s="8" t="n"/>
      <c r="L60" s="8" t="n"/>
      <c r="M60" s="8" t="n"/>
      <c r="N60" s="8" t="n"/>
      <c r="O60" s="11">
        <f>IF(H60="","",IF(OR(J60="Fixed",J60="Closed",J60="False positive"),"Closed",IF(J60="Risk accepted","Exception",IF(TODAY()&gt;H60,"Overdue","Within SLA"))))</f>
        <v/>
      </c>
      <c r="P60" s="8" t="n"/>
    </row>
    <row r="61" ht="28" customHeight="1">
      <c r="A61" s="8" t="n"/>
      <c r="B61" s="8" t="n"/>
      <c r="C61" s="8" t="n"/>
      <c r="D61" s="8" t="n"/>
      <c r="E61" s="8" t="n"/>
      <c r="F61" s="9" t="n"/>
      <c r="G61" s="8" t="n"/>
      <c r="H61" s="10">
        <f>IF(OR(E61="",G61=""),"",G61+IF(E61="Critical",7,IF(E61="High",30,IF(E61="Medium",90,180))))</f>
        <v/>
      </c>
      <c r="I61" s="8" t="n"/>
      <c r="J61" s="8" t="n"/>
      <c r="K61" s="8" t="n"/>
      <c r="L61" s="8" t="n"/>
      <c r="M61" s="8" t="n"/>
      <c r="N61" s="8" t="n"/>
      <c r="O61" s="11">
        <f>IF(H61="","",IF(OR(J61="Fixed",J61="Closed",J61="False positive"),"Closed",IF(J61="Risk accepted","Exception",IF(TODAY()&gt;H61,"Overdue","Within SLA"))))</f>
        <v/>
      </c>
      <c r="P61" s="8" t="n"/>
    </row>
    <row r="62" ht="28" customHeight="1">
      <c r="A62" s="8" t="n"/>
      <c r="B62" s="8" t="n"/>
      <c r="C62" s="8" t="n"/>
      <c r="D62" s="8" t="n"/>
      <c r="E62" s="8" t="n"/>
      <c r="F62" s="9" t="n"/>
      <c r="G62" s="8" t="n"/>
      <c r="H62" s="10">
        <f>IF(OR(E62="",G62=""),"",G62+IF(E62="Critical",7,IF(E62="High",30,IF(E62="Medium",90,180))))</f>
        <v/>
      </c>
      <c r="I62" s="8" t="n"/>
      <c r="J62" s="8" t="n"/>
      <c r="K62" s="8" t="n"/>
      <c r="L62" s="8" t="n"/>
      <c r="M62" s="8" t="n"/>
      <c r="N62" s="8" t="n"/>
      <c r="O62" s="11">
        <f>IF(H62="","",IF(OR(J62="Fixed",J62="Closed",J62="False positive"),"Closed",IF(J62="Risk accepted","Exception",IF(TODAY()&gt;H62,"Overdue","Within SLA"))))</f>
        <v/>
      </c>
      <c r="P62" s="8" t="n"/>
    </row>
    <row r="63" ht="28" customHeight="1">
      <c r="A63" s="8" t="n"/>
      <c r="B63" s="8" t="n"/>
      <c r="C63" s="8" t="n"/>
      <c r="D63" s="8" t="n"/>
      <c r="E63" s="8" t="n"/>
      <c r="F63" s="9" t="n"/>
      <c r="G63" s="8" t="n"/>
      <c r="H63" s="10">
        <f>IF(OR(E63="",G63=""),"",G63+IF(E63="Critical",7,IF(E63="High",30,IF(E63="Medium",90,180))))</f>
        <v/>
      </c>
      <c r="I63" s="8" t="n"/>
      <c r="J63" s="8" t="n"/>
      <c r="K63" s="8" t="n"/>
      <c r="L63" s="8" t="n"/>
      <c r="M63" s="8" t="n"/>
      <c r="N63" s="8" t="n"/>
      <c r="O63" s="11">
        <f>IF(H63="","",IF(OR(J63="Fixed",J63="Closed",J63="False positive"),"Closed",IF(J63="Risk accepted","Exception",IF(TODAY()&gt;H63,"Overdue","Within SLA"))))</f>
        <v/>
      </c>
      <c r="P63" s="8" t="n"/>
    </row>
    <row r="64" ht="28" customHeight="1">
      <c r="A64" s="8" t="n"/>
      <c r="B64" s="8" t="n"/>
      <c r="C64" s="8" t="n"/>
      <c r="D64" s="8" t="n"/>
      <c r="E64" s="8" t="n"/>
      <c r="F64" s="9" t="n"/>
      <c r="G64" s="8" t="n"/>
      <c r="H64" s="10">
        <f>IF(OR(E64="",G64=""),"",G64+IF(E64="Critical",7,IF(E64="High",30,IF(E64="Medium",90,180))))</f>
        <v/>
      </c>
      <c r="I64" s="8" t="n"/>
      <c r="J64" s="8" t="n"/>
      <c r="K64" s="8" t="n"/>
      <c r="L64" s="8" t="n"/>
      <c r="M64" s="8" t="n"/>
      <c r="N64" s="8" t="n"/>
      <c r="O64" s="11">
        <f>IF(H64="","",IF(OR(J64="Fixed",J64="Closed",J64="False positive"),"Closed",IF(J64="Risk accepted","Exception",IF(TODAY()&gt;H64,"Overdue","Within SLA"))))</f>
        <v/>
      </c>
      <c r="P64" s="8" t="n"/>
    </row>
    <row r="65" ht="28" customHeight="1">
      <c r="A65" s="8" t="n"/>
      <c r="B65" s="8" t="n"/>
      <c r="C65" s="8" t="n"/>
      <c r="D65" s="8" t="n"/>
      <c r="E65" s="8" t="n"/>
      <c r="F65" s="9" t="n"/>
      <c r="G65" s="8" t="n"/>
      <c r="H65" s="10">
        <f>IF(OR(E65="",G65=""),"",G65+IF(E65="Critical",7,IF(E65="High",30,IF(E65="Medium",90,180))))</f>
        <v/>
      </c>
      <c r="I65" s="8" t="n"/>
      <c r="J65" s="8" t="n"/>
      <c r="K65" s="8" t="n"/>
      <c r="L65" s="8" t="n"/>
      <c r="M65" s="8" t="n"/>
      <c r="N65" s="8" t="n"/>
      <c r="O65" s="11">
        <f>IF(H65="","",IF(OR(J65="Fixed",J65="Closed",J65="False positive"),"Closed",IF(J65="Risk accepted","Exception",IF(TODAY()&gt;H65,"Overdue","Within SLA"))))</f>
        <v/>
      </c>
      <c r="P65" s="8" t="n"/>
    </row>
    <row r="66" ht="28" customHeight="1">
      <c r="A66" s="8" t="n"/>
      <c r="B66" s="8" t="n"/>
      <c r="C66" s="8" t="n"/>
      <c r="D66" s="8" t="n"/>
      <c r="E66" s="8" t="n"/>
      <c r="F66" s="9" t="n"/>
      <c r="G66" s="8" t="n"/>
      <c r="H66" s="10">
        <f>IF(OR(E66="",G66=""),"",G66+IF(E66="Critical",7,IF(E66="High",30,IF(E66="Medium",90,180))))</f>
        <v/>
      </c>
      <c r="I66" s="8" t="n"/>
      <c r="J66" s="8" t="n"/>
      <c r="K66" s="8" t="n"/>
      <c r="L66" s="8" t="n"/>
      <c r="M66" s="8" t="n"/>
      <c r="N66" s="8" t="n"/>
      <c r="O66" s="11">
        <f>IF(H66="","",IF(OR(J66="Fixed",J66="Closed",J66="False positive"),"Closed",IF(J66="Risk accepted","Exception",IF(TODAY()&gt;H66,"Overdue","Within SLA"))))</f>
        <v/>
      </c>
      <c r="P66" s="8" t="n"/>
    </row>
    <row r="67" ht="28" customHeight="1">
      <c r="A67" s="8" t="n"/>
      <c r="B67" s="8" t="n"/>
      <c r="C67" s="8" t="n"/>
      <c r="D67" s="8" t="n"/>
      <c r="E67" s="8" t="n"/>
      <c r="F67" s="9" t="n"/>
      <c r="G67" s="8" t="n"/>
      <c r="H67" s="10">
        <f>IF(OR(E67="",G67=""),"",G67+IF(E67="Critical",7,IF(E67="High",30,IF(E67="Medium",90,180))))</f>
        <v/>
      </c>
      <c r="I67" s="8" t="n"/>
      <c r="J67" s="8" t="n"/>
      <c r="K67" s="8" t="n"/>
      <c r="L67" s="8" t="n"/>
      <c r="M67" s="8" t="n"/>
      <c r="N67" s="8" t="n"/>
      <c r="O67" s="11">
        <f>IF(H67="","",IF(OR(J67="Fixed",J67="Closed",J67="False positive"),"Closed",IF(J67="Risk accepted","Exception",IF(TODAY()&gt;H67,"Overdue","Within SLA"))))</f>
        <v/>
      </c>
      <c r="P67" s="8" t="n"/>
    </row>
    <row r="68" ht="28" customHeight="1">
      <c r="A68" s="8" t="n"/>
      <c r="B68" s="8" t="n"/>
      <c r="C68" s="8" t="n"/>
      <c r="D68" s="8" t="n"/>
      <c r="E68" s="8" t="n"/>
      <c r="F68" s="9" t="n"/>
      <c r="G68" s="8" t="n"/>
      <c r="H68" s="10">
        <f>IF(OR(E68="",G68=""),"",G68+IF(E68="Critical",7,IF(E68="High",30,IF(E68="Medium",90,180))))</f>
        <v/>
      </c>
      <c r="I68" s="8" t="n"/>
      <c r="J68" s="8" t="n"/>
      <c r="K68" s="8" t="n"/>
      <c r="L68" s="8" t="n"/>
      <c r="M68" s="8" t="n"/>
      <c r="N68" s="8" t="n"/>
      <c r="O68" s="11">
        <f>IF(H68="","",IF(OR(J68="Fixed",J68="Closed",J68="False positive"),"Closed",IF(J68="Risk accepted","Exception",IF(TODAY()&gt;H68,"Overdue","Within SLA"))))</f>
        <v/>
      </c>
      <c r="P68" s="8" t="n"/>
    </row>
    <row r="69" ht="28" customHeight="1">
      <c r="A69" s="8" t="n"/>
      <c r="B69" s="8" t="n"/>
      <c r="C69" s="8" t="n"/>
      <c r="D69" s="8" t="n"/>
      <c r="E69" s="8" t="n"/>
      <c r="F69" s="9" t="n"/>
      <c r="G69" s="8" t="n"/>
      <c r="H69" s="10">
        <f>IF(OR(E69="",G69=""),"",G69+IF(E69="Critical",7,IF(E69="High",30,IF(E69="Medium",90,180))))</f>
        <v/>
      </c>
      <c r="I69" s="8" t="n"/>
      <c r="J69" s="8" t="n"/>
      <c r="K69" s="8" t="n"/>
      <c r="L69" s="8" t="n"/>
      <c r="M69" s="8" t="n"/>
      <c r="N69" s="8" t="n"/>
      <c r="O69" s="11">
        <f>IF(H69="","",IF(OR(J69="Fixed",J69="Closed",J69="False positive"),"Closed",IF(J69="Risk accepted","Exception",IF(TODAY()&gt;H69,"Overdue","Within SLA"))))</f>
        <v/>
      </c>
      <c r="P69" s="8" t="n"/>
    </row>
    <row r="70" ht="28" customHeight="1">
      <c r="A70" s="8" t="n"/>
      <c r="B70" s="8" t="n"/>
      <c r="C70" s="8" t="n"/>
      <c r="D70" s="8" t="n"/>
      <c r="E70" s="8" t="n"/>
      <c r="F70" s="9" t="n"/>
      <c r="G70" s="8" t="n"/>
      <c r="H70" s="10">
        <f>IF(OR(E70="",G70=""),"",G70+IF(E70="Critical",7,IF(E70="High",30,IF(E70="Medium",90,180))))</f>
        <v/>
      </c>
      <c r="I70" s="8" t="n"/>
      <c r="J70" s="8" t="n"/>
      <c r="K70" s="8" t="n"/>
      <c r="L70" s="8" t="n"/>
      <c r="M70" s="8" t="n"/>
      <c r="N70" s="8" t="n"/>
      <c r="O70" s="11">
        <f>IF(H70="","",IF(OR(J70="Fixed",J70="Closed",J70="False positive"),"Closed",IF(J70="Risk accepted","Exception",IF(TODAY()&gt;H70,"Overdue","Within SLA"))))</f>
        <v/>
      </c>
      <c r="P70" s="8" t="n"/>
    </row>
    <row r="71" ht="28" customHeight="1">
      <c r="A71" s="8" t="n"/>
      <c r="B71" s="8" t="n"/>
      <c r="C71" s="8" t="n"/>
      <c r="D71" s="8" t="n"/>
      <c r="E71" s="8" t="n"/>
      <c r="F71" s="9" t="n"/>
      <c r="G71" s="8" t="n"/>
      <c r="H71" s="10">
        <f>IF(OR(E71="",G71=""),"",G71+IF(E71="Critical",7,IF(E71="High",30,IF(E71="Medium",90,180))))</f>
        <v/>
      </c>
      <c r="I71" s="8" t="n"/>
      <c r="J71" s="8" t="n"/>
      <c r="K71" s="8" t="n"/>
      <c r="L71" s="8" t="n"/>
      <c r="M71" s="8" t="n"/>
      <c r="N71" s="8" t="n"/>
      <c r="O71" s="11">
        <f>IF(H71="","",IF(OR(J71="Fixed",J71="Closed",J71="False positive"),"Closed",IF(J71="Risk accepted","Exception",IF(TODAY()&gt;H71,"Overdue","Within SLA"))))</f>
        <v/>
      </c>
      <c r="P71" s="8" t="n"/>
    </row>
    <row r="72" ht="28" customHeight="1">
      <c r="A72" s="8" t="n"/>
      <c r="B72" s="8" t="n"/>
      <c r="C72" s="8" t="n"/>
      <c r="D72" s="8" t="n"/>
      <c r="E72" s="8" t="n"/>
      <c r="F72" s="9" t="n"/>
      <c r="G72" s="8" t="n"/>
      <c r="H72" s="10">
        <f>IF(OR(E72="",G72=""),"",G72+IF(E72="Critical",7,IF(E72="High",30,IF(E72="Medium",90,180))))</f>
        <v/>
      </c>
      <c r="I72" s="8" t="n"/>
      <c r="J72" s="8" t="n"/>
      <c r="K72" s="8" t="n"/>
      <c r="L72" s="8" t="n"/>
      <c r="M72" s="8" t="n"/>
      <c r="N72" s="8" t="n"/>
      <c r="O72" s="11">
        <f>IF(H72="","",IF(OR(J72="Fixed",J72="Closed",J72="False positive"),"Closed",IF(J72="Risk accepted","Exception",IF(TODAY()&gt;H72,"Overdue","Within SLA"))))</f>
        <v/>
      </c>
      <c r="P72" s="8" t="n"/>
    </row>
    <row r="73" ht="28" customHeight="1">
      <c r="A73" s="8" t="n"/>
      <c r="B73" s="8" t="n"/>
      <c r="C73" s="8" t="n"/>
      <c r="D73" s="8" t="n"/>
      <c r="E73" s="8" t="n"/>
      <c r="F73" s="9" t="n"/>
      <c r="G73" s="8" t="n"/>
      <c r="H73" s="10">
        <f>IF(OR(E73="",G73=""),"",G73+IF(E73="Critical",7,IF(E73="High",30,IF(E73="Medium",90,180))))</f>
        <v/>
      </c>
      <c r="I73" s="8" t="n"/>
      <c r="J73" s="8" t="n"/>
      <c r="K73" s="8" t="n"/>
      <c r="L73" s="8" t="n"/>
      <c r="M73" s="8" t="n"/>
      <c r="N73" s="8" t="n"/>
      <c r="O73" s="11">
        <f>IF(H73="","",IF(OR(J73="Fixed",J73="Closed",J73="False positive"),"Closed",IF(J73="Risk accepted","Exception",IF(TODAY()&gt;H73,"Overdue","Within SLA"))))</f>
        <v/>
      </c>
      <c r="P73" s="8" t="n"/>
    </row>
    <row r="74" ht="28" customHeight="1">
      <c r="A74" s="8" t="n"/>
      <c r="B74" s="8" t="n"/>
      <c r="C74" s="8" t="n"/>
      <c r="D74" s="8" t="n"/>
      <c r="E74" s="8" t="n"/>
      <c r="F74" s="9" t="n"/>
      <c r="G74" s="8" t="n"/>
      <c r="H74" s="10">
        <f>IF(OR(E74="",G74=""),"",G74+IF(E74="Critical",7,IF(E74="High",30,IF(E74="Medium",90,180))))</f>
        <v/>
      </c>
      <c r="I74" s="8" t="n"/>
      <c r="J74" s="8" t="n"/>
      <c r="K74" s="8" t="n"/>
      <c r="L74" s="8" t="n"/>
      <c r="M74" s="8" t="n"/>
      <c r="N74" s="8" t="n"/>
      <c r="O74" s="11">
        <f>IF(H74="","",IF(OR(J74="Fixed",J74="Closed",J74="False positive"),"Closed",IF(J74="Risk accepted","Exception",IF(TODAY()&gt;H74,"Overdue","Within SLA"))))</f>
        <v/>
      </c>
      <c r="P74" s="8" t="n"/>
    </row>
    <row r="75" ht="28" customHeight="1">
      <c r="A75" s="8" t="n"/>
      <c r="B75" s="8" t="n"/>
      <c r="C75" s="8" t="n"/>
      <c r="D75" s="8" t="n"/>
      <c r="E75" s="8" t="n"/>
      <c r="F75" s="9" t="n"/>
      <c r="G75" s="8" t="n"/>
      <c r="H75" s="10">
        <f>IF(OR(E75="",G75=""),"",G75+IF(E75="Critical",7,IF(E75="High",30,IF(E75="Medium",90,180))))</f>
        <v/>
      </c>
      <c r="I75" s="8" t="n"/>
      <c r="J75" s="8" t="n"/>
      <c r="K75" s="8" t="n"/>
      <c r="L75" s="8" t="n"/>
      <c r="M75" s="8" t="n"/>
      <c r="N75" s="8" t="n"/>
      <c r="O75" s="11">
        <f>IF(H75="","",IF(OR(J75="Fixed",J75="Closed",J75="False positive"),"Closed",IF(J75="Risk accepted","Exception",IF(TODAY()&gt;H75,"Overdue","Within SLA"))))</f>
        <v/>
      </c>
      <c r="P75" s="8" t="n"/>
    </row>
    <row r="76" ht="28" customHeight="1">
      <c r="A76" s="8" t="n"/>
      <c r="B76" s="8" t="n"/>
      <c r="C76" s="8" t="n"/>
      <c r="D76" s="8" t="n"/>
      <c r="E76" s="8" t="n"/>
      <c r="F76" s="9" t="n"/>
      <c r="G76" s="8" t="n"/>
      <c r="H76" s="10">
        <f>IF(OR(E76="",G76=""),"",G76+IF(E76="Critical",7,IF(E76="High",30,IF(E76="Medium",90,180))))</f>
        <v/>
      </c>
      <c r="I76" s="8" t="n"/>
      <c r="J76" s="8" t="n"/>
      <c r="K76" s="8" t="n"/>
      <c r="L76" s="8" t="n"/>
      <c r="M76" s="8" t="n"/>
      <c r="N76" s="8" t="n"/>
      <c r="O76" s="11">
        <f>IF(H76="","",IF(OR(J76="Fixed",J76="Closed",J76="False positive"),"Closed",IF(J76="Risk accepted","Exception",IF(TODAY()&gt;H76,"Overdue","Within SLA"))))</f>
        <v/>
      </c>
      <c r="P76" s="8" t="n"/>
    </row>
    <row r="77" ht="28" customHeight="1">
      <c r="A77" s="8" t="n"/>
      <c r="B77" s="8" t="n"/>
      <c r="C77" s="8" t="n"/>
      <c r="D77" s="8" t="n"/>
      <c r="E77" s="8" t="n"/>
      <c r="F77" s="9" t="n"/>
      <c r="G77" s="8" t="n"/>
      <c r="H77" s="10">
        <f>IF(OR(E77="",G77=""),"",G77+IF(E77="Critical",7,IF(E77="High",30,IF(E77="Medium",90,180))))</f>
        <v/>
      </c>
      <c r="I77" s="8" t="n"/>
      <c r="J77" s="8" t="n"/>
      <c r="K77" s="8" t="n"/>
      <c r="L77" s="8" t="n"/>
      <c r="M77" s="8" t="n"/>
      <c r="N77" s="8" t="n"/>
      <c r="O77" s="11">
        <f>IF(H77="","",IF(OR(J77="Fixed",J77="Closed",J77="False positive"),"Closed",IF(J77="Risk accepted","Exception",IF(TODAY()&gt;H77,"Overdue","Within SLA"))))</f>
        <v/>
      </c>
      <c r="P77" s="8" t="n"/>
    </row>
    <row r="78" ht="28" customHeight="1">
      <c r="A78" s="8" t="n"/>
      <c r="B78" s="8" t="n"/>
      <c r="C78" s="8" t="n"/>
      <c r="D78" s="8" t="n"/>
      <c r="E78" s="8" t="n"/>
      <c r="F78" s="9" t="n"/>
      <c r="G78" s="8" t="n"/>
      <c r="H78" s="10">
        <f>IF(OR(E78="",G78=""),"",G78+IF(E78="Critical",7,IF(E78="High",30,IF(E78="Medium",90,180))))</f>
        <v/>
      </c>
      <c r="I78" s="8" t="n"/>
      <c r="J78" s="8" t="n"/>
      <c r="K78" s="8" t="n"/>
      <c r="L78" s="8" t="n"/>
      <c r="M78" s="8" t="n"/>
      <c r="N78" s="8" t="n"/>
      <c r="O78" s="11">
        <f>IF(H78="","",IF(OR(J78="Fixed",J78="Closed",J78="False positive"),"Closed",IF(J78="Risk accepted","Exception",IF(TODAY()&gt;H78,"Overdue","Within SLA"))))</f>
        <v/>
      </c>
      <c r="P78" s="8" t="n"/>
    </row>
    <row r="79" ht="28" customHeight="1">
      <c r="A79" s="8" t="n"/>
      <c r="B79" s="8" t="n"/>
      <c r="C79" s="8" t="n"/>
      <c r="D79" s="8" t="n"/>
      <c r="E79" s="8" t="n"/>
      <c r="F79" s="9" t="n"/>
      <c r="G79" s="8" t="n"/>
      <c r="H79" s="10">
        <f>IF(OR(E79="",G79=""),"",G79+IF(E79="Critical",7,IF(E79="High",30,IF(E79="Medium",90,180))))</f>
        <v/>
      </c>
      <c r="I79" s="8" t="n"/>
      <c r="J79" s="8" t="n"/>
      <c r="K79" s="8" t="n"/>
      <c r="L79" s="8" t="n"/>
      <c r="M79" s="8" t="n"/>
      <c r="N79" s="8" t="n"/>
      <c r="O79" s="11">
        <f>IF(H79="","",IF(OR(J79="Fixed",J79="Closed",J79="False positive"),"Closed",IF(J79="Risk accepted","Exception",IF(TODAY()&gt;H79,"Overdue","Within SLA"))))</f>
        <v/>
      </c>
      <c r="P79" s="8" t="n"/>
    </row>
    <row r="80" ht="28" customHeight="1">
      <c r="A80" s="8" t="n"/>
      <c r="B80" s="8" t="n"/>
      <c r="C80" s="8" t="n"/>
      <c r="D80" s="8" t="n"/>
      <c r="E80" s="8" t="n"/>
      <c r="F80" s="9" t="n"/>
      <c r="G80" s="8" t="n"/>
      <c r="H80" s="10">
        <f>IF(OR(E80="",G80=""),"",G80+IF(E80="Critical",7,IF(E80="High",30,IF(E80="Medium",90,180))))</f>
        <v/>
      </c>
      <c r="I80" s="8" t="n"/>
      <c r="J80" s="8" t="n"/>
      <c r="K80" s="8" t="n"/>
      <c r="L80" s="8" t="n"/>
      <c r="M80" s="8" t="n"/>
      <c r="N80" s="8" t="n"/>
      <c r="O80" s="11">
        <f>IF(H80="","",IF(OR(J80="Fixed",J80="Closed",J80="False positive"),"Closed",IF(J80="Risk accepted","Exception",IF(TODAY()&gt;H80,"Overdue","Within SLA"))))</f>
        <v/>
      </c>
      <c r="P80" s="8" t="n"/>
    </row>
    <row r="81" ht="28" customHeight="1">
      <c r="A81" s="8" t="n"/>
      <c r="B81" s="8" t="n"/>
      <c r="C81" s="8" t="n"/>
      <c r="D81" s="8" t="n"/>
      <c r="E81" s="8" t="n"/>
      <c r="F81" s="9" t="n"/>
      <c r="G81" s="8" t="n"/>
      <c r="H81" s="10">
        <f>IF(OR(E81="",G81=""),"",G81+IF(E81="Critical",7,IF(E81="High",30,IF(E81="Medium",90,180))))</f>
        <v/>
      </c>
      <c r="I81" s="8" t="n"/>
      <c r="J81" s="8" t="n"/>
      <c r="K81" s="8" t="n"/>
      <c r="L81" s="8" t="n"/>
      <c r="M81" s="8" t="n"/>
      <c r="N81" s="8" t="n"/>
      <c r="O81" s="11">
        <f>IF(H81="","",IF(OR(J81="Fixed",J81="Closed",J81="False positive"),"Closed",IF(J81="Risk accepted","Exception",IF(TODAY()&gt;H81,"Overdue","Within SLA"))))</f>
        <v/>
      </c>
      <c r="P81" s="8" t="n"/>
    </row>
    <row r="82" ht="28" customHeight="1">
      <c r="A82" s="8" t="n"/>
      <c r="B82" s="8" t="n"/>
      <c r="C82" s="8" t="n"/>
      <c r="D82" s="8" t="n"/>
      <c r="E82" s="8" t="n"/>
      <c r="F82" s="9" t="n"/>
      <c r="G82" s="8" t="n"/>
      <c r="H82" s="10">
        <f>IF(OR(E82="",G82=""),"",G82+IF(E82="Critical",7,IF(E82="High",30,IF(E82="Medium",90,180))))</f>
        <v/>
      </c>
      <c r="I82" s="8" t="n"/>
      <c r="J82" s="8" t="n"/>
      <c r="K82" s="8" t="n"/>
      <c r="L82" s="8" t="n"/>
      <c r="M82" s="8" t="n"/>
      <c r="N82" s="8" t="n"/>
      <c r="O82" s="11">
        <f>IF(H82="","",IF(OR(J82="Fixed",J82="Closed",J82="False positive"),"Closed",IF(J82="Risk accepted","Exception",IF(TODAY()&gt;H82,"Overdue","Within SLA"))))</f>
        <v/>
      </c>
      <c r="P82" s="8" t="n"/>
    </row>
    <row r="83" ht="28" customHeight="1">
      <c r="A83" s="8" t="n"/>
      <c r="B83" s="8" t="n"/>
      <c r="C83" s="8" t="n"/>
      <c r="D83" s="8" t="n"/>
      <c r="E83" s="8" t="n"/>
      <c r="F83" s="9" t="n"/>
      <c r="G83" s="8" t="n"/>
      <c r="H83" s="10">
        <f>IF(OR(E83="",G83=""),"",G83+IF(E83="Critical",7,IF(E83="High",30,IF(E83="Medium",90,180))))</f>
        <v/>
      </c>
      <c r="I83" s="8" t="n"/>
      <c r="J83" s="8" t="n"/>
      <c r="K83" s="8" t="n"/>
      <c r="L83" s="8" t="n"/>
      <c r="M83" s="8" t="n"/>
      <c r="N83" s="8" t="n"/>
      <c r="O83" s="11">
        <f>IF(H83="","",IF(OR(J83="Fixed",J83="Closed",J83="False positive"),"Closed",IF(J83="Risk accepted","Exception",IF(TODAY()&gt;H83,"Overdue","Within SLA"))))</f>
        <v/>
      </c>
      <c r="P83" s="8" t="n"/>
    </row>
    <row r="84" ht="28" customHeight="1">
      <c r="A84" s="8" t="n"/>
      <c r="B84" s="8" t="n"/>
      <c r="C84" s="8" t="n"/>
      <c r="D84" s="8" t="n"/>
      <c r="E84" s="8" t="n"/>
      <c r="F84" s="9" t="n"/>
      <c r="G84" s="8" t="n"/>
      <c r="H84" s="10">
        <f>IF(OR(E84="",G84=""),"",G84+IF(E84="Critical",7,IF(E84="High",30,IF(E84="Medium",90,180))))</f>
        <v/>
      </c>
      <c r="I84" s="8" t="n"/>
      <c r="J84" s="8" t="n"/>
      <c r="K84" s="8" t="n"/>
      <c r="L84" s="8" t="n"/>
      <c r="M84" s="8" t="n"/>
      <c r="N84" s="8" t="n"/>
      <c r="O84" s="11">
        <f>IF(H84="","",IF(OR(J84="Fixed",J84="Closed",J84="False positive"),"Closed",IF(J84="Risk accepted","Exception",IF(TODAY()&gt;H84,"Overdue","Within SLA"))))</f>
        <v/>
      </c>
      <c r="P84" s="8" t="n"/>
    </row>
    <row r="85" ht="28" customHeight="1">
      <c r="A85" s="8" t="n"/>
      <c r="B85" s="8" t="n"/>
      <c r="C85" s="8" t="n"/>
      <c r="D85" s="8" t="n"/>
      <c r="E85" s="8" t="n"/>
      <c r="F85" s="9" t="n"/>
      <c r="G85" s="8" t="n"/>
      <c r="H85" s="10">
        <f>IF(OR(E85="",G85=""),"",G85+IF(E85="Critical",7,IF(E85="High",30,IF(E85="Medium",90,180))))</f>
        <v/>
      </c>
      <c r="I85" s="8" t="n"/>
      <c r="J85" s="8" t="n"/>
      <c r="K85" s="8" t="n"/>
      <c r="L85" s="8" t="n"/>
      <c r="M85" s="8" t="n"/>
      <c r="N85" s="8" t="n"/>
      <c r="O85" s="11">
        <f>IF(H85="","",IF(OR(J85="Fixed",J85="Closed",J85="False positive"),"Closed",IF(J85="Risk accepted","Exception",IF(TODAY()&gt;H85,"Overdue","Within SLA"))))</f>
        <v/>
      </c>
      <c r="P85" s="8" t="n"/>
    </row>
    <row r="86" ht="28" customHeight="1">
      <c r="A86" s="8" t="n"/>
      <c r="B86" s="8" t="n"/>
      <c r="C86" s="8" t="n"/>
      <c r="D86" s="8" t="n"/>
      <c r="E86" s="8" t="n"/>
      <c r="F86" s="9" t="n"/>
      <c r="G86" s="8" t="n"/>
      <c r="H86" s="10">
        <f>IF(OR(E86="",G86=""),"",G86+IF(E86="Critical",7,IF(E86="High",30,IF(E86="Medium",90,180))))</f>
        <v/>
      </c>
      <c r="I86" s="8" t="n"/>
      <c r="J86" s="8" t="n"/>
      <c r="K86" s="8" t="n"/>
      <c r="L86" s="8" t="n"/>
      <c r="M86" s="8" t="n"/>
      <c r="N86" s="8" t="n"/>
      <c r="O86" s="11">
        <f>IF(H86="","",IF(OR(J86="Fixed",J86="Closed",J86="False positive"),"Closed",IF(J86="Risk accepted","Exception",IF(TODAY()&gt;H86,"Overdue","Within SLA"))))</f>
        <v/>
      </c>
      <c r="P86" s="8" t="n"/>
    </row>
    <row r="87" ht="28" customHeight="1">
      <c r="A87" s="8" t="n"/>
      <c r="B87" s="8" t="n"/>
      <c r="C87" s="8" t="n"/>
      <c r="D87" s="8" t="n"/>
      <c r="E87" s="8" t="n"/>
      <c r="F87" s="9" t="n"/>
      <c r="G87" s="8" t="n"/>
      <c r="H87" s="10">
        <f>IF(OR(E87="",G87=""),"",G87+IF(E87="Critical",7,IF(E87="High",30,IF(E87="Medium",90,180))))</f>
        <v/>
      </c>
      <c r="I87" s="8" t="n"/>
      <c r="J87" s="8" t="n"/>
      <c r="K87" s="8" t="n"/>
      <c r="L87" s="8" t="n"/>
      <c r="M87" s="8" t="n"/>
      <c r="N87" s="8" t="n"/>
      <c r="O87" s="11">
        <f>IF(H87="","",IF(OR(J87="Fixed",J87="Closed",J87="False positive"),"Closed",IF(J87="Risk accepted","Exception",IF(TODAY()&gt;H87,"Overdue","Within SLA"))))</f>
        <v/>
      </c>
      <c r="P87" s="8" t="n"/>
    </row>
    <row r="88" ht="28" customHeight="1">
      <c r="A88" s="8" t="n"/>
      <c r="B88" s="8" t="n"/>
      <c r="C88" s="8" t="n"/>
      <c r="D88" s="8" t="n"/>
      <c r="E88" s="8" t="n"/>
      <c r="F88" s="9" t="n"/>
      <c r="G88" s="8" t="n"/>
      <c r="H88" s="10">
        <f>IF(OR(E88="",G88=""),"",G88+IF(E88="Critical",7,IF(E88="High",30,IF(E88="Medium",90,180))))</f>
        <v/>
      </c>
      <c r="I88" s="8" t="n"/>
      <c r="J88" s="8" t="n"/>
      <c r="K88" s="8" t="n"/>
      <c r="L88" s="8" t="n"/>
      <c r="M88" s="8" t="n"/>
      <c r="N88" s="8" t="n"/>
      <c r="O88" s="11">
        <f>IF(H88="","",IF(OR(J88="Fixed",J88="Closed",J88="False positive"),"Closed",IF(J88="Risk accepted","Exception",IF(TODAY()&gt;H88,"Overdue","Within SLA"))))</f>
        <v/>
      </c>
      <c r="P88" s="8" t="n"/>
    </row>
    <row r="89" ht="28" customHeight="1">
      <c r="A89" s="8" t="n"/>
      <c r="B89" s="8" t="n"/>
      <c r="C89" s="8" t="n"/>
      <c r="D89" s="8" t="n"/>
      <c r="E89" s="8" t="n"/>
      <c r="F89" s="9" t="n"/>
      <c r="G89" s="8" t="n"/>
      <c r="H89" s="10">
        <f>IF(OR(E89="",G89=""),"",G89+IF(E89="Critical",7,IF(E89="High",30,IF(E89="Medium",90,180))))</f>
        <v/>
      </c>
      <c r="I89" s="8" t="n"/>
      <c r="J89" s="8" t="n"/>
      <c r="K89" s="8" t="n"/>
      <c r="L89" s="8" t="n"/>
      <c r="M89" s="8" t="n"/>
      <c r="N89" s="8" t="n"/>
      <c r="O89" s="11">
        <f>IF(H89="","",IF(OR(J89="Fixed",J89="Closed",J89="False positive"),"Closed",IF(J89="Risk accepted","Exception",IF(TODAY()&gt;H89,"Overdue","Within SLA"))))</f>
        <v/>
      </c>
      <c r="P89" s="8" t="n"/>
    </row>
    <row r="90" ht="28" customHeight="1">
      <c r="A90" s="8" t="n"/>
      <c r="B90" s="8" t="n"/>
      <c r="C90" s="8" t="n"/>
      <c r="D90" s="8" t="n"/>
      <c r="E90" s="8" t="n"/>
      <c r="F90" s="9" t="n"/>
      <c r="G90" s="8" t="n"/>
      <c r="H90" s="10">
        <f>IF(OR(E90="",G90=""),"",G90+IF(E90="Critical",7,IF(E90="High",30,IF(E90="Medium",90,180))))</f>
        <v/>
      </c>
      <c r="I90" s="8" t="n"/>
      <c r="J90" s="8" t="n"/>
      <c r="K90" s="8" t="n"/>
      <c r="L90" s="8" t="n"/>
      <c r="M90" s="8" t="n"/>
      <c r="N90" s="8" t="n"/>
      <c r="O90" s="11">
        <f>IF(H90="","",IF(OR(J90="Fixed",J90="Closed",J90="False positive"),"Closed",IF(J90="Risk accepted","Exception",IF(TODAY()&gt;H90,"Overdue","Within SLA"))))</f>
        <v/>
      </c>
      <c r="P90" s="8" t="n"/>
    </row>
    <row r="91" ht="28" customHeight="1">
      <c r="A91" s="8" t="n"/>
      <c r="B91" s="8" t="n"/>
      <c r="C91" s="8" t="n"/>
      <c r="D91" s="8" t="n"/>
      <c r="E91" s="8" t="n"/>
      <c r="F91" s="9" t="n"/>
      <c r="G91" s="8" t="n"/>
      <c r="H91" s="10">
        <f>IF(OR(E91="",G91=""),"",G91+IF(E91="Critical",7,IF(E91="High",30,IF(E91="Medium",90,180))))</f>
        <v/>
      </c>
      <c r="I91" s="8" t="n"/>
      <c r="J91" s="8" t="n"/>
      <c r="K91" s="8" t="n"/>
      <c r="L91" s="8" t="n"/>
      <c r="M91" s="8" t="n"/>
      <c r="N91" s="8" t="n"/>
      <c r="O91" s="11">
        <f>IF(H91="","",IF(OR(J91="Fixed",J91="Closed",J91="False positive"),"Closed",IF(J91="Risk accepted","Exception",IF(TODAY()&gt;H91,"Overdue","Within SLA"))))</f>
        <v/>
      </c>
      <c r="P91" s="8" t="n"/>
    </row>
    <row r="92" ht="28" customHeight="1">
      <c r="A92" s="8" t="n"/>
      <c r="B92" s="8" t="n"/>
      <c r="C92" s="8" t="n"/>
      <c r="D92" s="8" t="n"/>
      <c r="E92" s="8" t="n"/>
      <c r="F92" s="9" t="n"/>
      <c r="G92" s="8" t="n"/>
      <c r="H92" s="10">
        <f>IF(OR(E92="",G92=""),"",G92+IF(E92="Critical",7,IF(E92="High",30,IF(E92="Medium",90,180))))</f>
        <v/>
      </c>
      <c r="I92" s="8" t="n"/>
      <c r="J92" s="8" t="n"/>
      <c r="K92" s="8" t="n"/>
      <c r="L92" s="8" t="n"/>
      <c r="M92" s="8" t="n"/>
      <c r="N92" s="8" t="n"/>
      <c r="O92" s="11">
        <f>IF(H92="","",IF(OR(J92="Fixed",J92="Closed",J92="False positive"),"Closed",IF(J92="Risk accepted","Exception",IF(TODAY()&gt;H92,"Overdue","Within SLA"))))</f>
        <v/>
      </c>
      <c r="P92" s="8" t="n"/>
    </row>
    <row r="93" ht="28" customHeight="1">
      <c r="A93" s="8" t="n"/>
      <c r="B93" s="8" t="n"/>
      <c r="C93" s="8" t="n"/>
      <c r="D93" s="8" t="n"/>
      <c r="E93" s="8" t="n"/>
      <c r="F93" s="9" t="n"/>
      <c r="G93" s="8" t="n"/>
      <c r="H93" s="10">
        <f>IF(OR(E93="",G93=""),"",G93+IF(E93="Critical",7,IF(E93="High",30,IF(E93="Medium",90,180))))</f>
        <v/>
      </c>
      <c r="I93" s="8" t="n"/>
      <c r="J93" s="8" t="n"/>
      <c r="K93" s="8" t="n"/>
      <c r="L93" s="8" t="n"/>
      <c r="M93" s="8" t="n"/>
      <c r="N93" s="8" t="n"/>
      <c r="O93" s="11">
        <f>IF(H93="","",IF(OR(J93="Fixed",J93="Closed",J93="False positive"),"Closed",IF(J93="Risk accepted","Exception",IF(TODAY()&gt;H93,"Overdue","Within SLA"))))</f>
        <v/>
      </c>
      <c r="P93" s="8" t="n"/>
    </row>
    <row r="94" ht="28" customHeight="1">
      <c r="A94" s="8" t="n"/>
      <c r="B94" s="8" t="n"/>
      <c r="C94" s="8" t="n"/>
      <c r="D94" s="8" t="n"/>
      <c r="E94" s="8" t="n"/>
      <c r="F94" s="9" t="n"/>
      <c r="G94" s="8" t="n"/>
      <c r="H94" s="10">
        <f>IF(OR(E94="",G94=""),"",G94+IF(E94="Critical",7,IF(E94="High",30,IF(E94="Medium",90,180))))</f>
        <v/>
      </c>
      <c r="I94" s="8" t="n"/>
      <c r="J94" s="8" t="n"/>
      <c r="K94" s="8" t="n"/>
      <c r="L94" s="8" t="n"/>
      <c r="M94" s="8" t="n"/>
      <c r="N94" s="8" t="n"/>
      <c r="O94" s="11">
        <f>IF(H94="","",IF(OR(J94="Fixed",J94="Closed",J94="False positive"),"Closed",IF(J94="Risk accepted","Exception",IF(TODAY()&gt;H94,"Overdue","Within SLA"))))</f>
        <v/>
      </c>
      <c r="P94" s="8" t="n"/>
    </row>
    <row r="95" ht="28" customHeight="1">
      <c r="A95" s="8" t="n"/>
      <c r="B95" s="8" t="n"/>
      <c r="C95" s="8" t="n"/>
      <c r="D95" s="8" t="n"/>
      <c r="E95" s="8" t="n"/>
      <c r="F95" s="9" t="n"/>
      <c r="G95" s="8" t="n"/>
      <c r="H95" s="10">
        <f>IF(OR(E95="",G95=""),"",G95+IF(E95="Critical",7,IF(E95="High",30,IF(E95="Medium",90,180))))</f>
        <v/>
      </c>
      <c r="I95" s="8" t="n"/>
      <c r="J95" s="8" t="n"/>
      <c r="K95" s="8" t="n"/>
      <c r="L95" s="8" t="n"/>
      <c r="M95" s="8" t="n"/>
      <c r="N95" s="8" t="n"/>
      <c r="O95" s="11">
        <f>IF(H95="","",IF(OR(J95="Fixed",J95="Closed",J95="False positive"),"Closed",IF(J95="Risk accepted","Exception",IF(TODAY()&gt;H95,"Overdue","Within SLA"))))</f>
        <v/>
      </c>
      <c r="P95" s="8" t="n"/>
    </row>
    <row r="96" ht="28" customHeight="1">
      <c r="A96" s="8" t="n"/>
      <c r="B96" s="8" t="n"/>
      <c r="C96" s="8" t="n"/>
      <c r="D96" s="8" t="n"/>
      <c r="E96" s="8" t="n"/>
      <c r="F96" s="9" t="n"/>
      <c r="G96" s="8" t="n"/>
      <c r="H96" s="10">
        <f>IF(OR(E96="",G96=""),"",G96+IF(E96="Critical",7,IF(E96="High",30,IF(E96="Medium",90,180))))</f>
        <v/>
      </c>
      <c r="I96" s="8" t="n"/>
      <c r="J96" s="8" t="n"/>
      <c r="K96" s="8" t="n"/>
      <c r="L96" s="8" t="n"/>
      <c r="M96" s="8" t="n"/>
      <c r="N96" s="8" t="n"/>
      <c r="O96" s="11">
        <f>IF(H96="","",IF(OR(J96="Fixed",J96="Closed",J96="False positive"),"Closed",IF(J96="Risk accepted","Exception",IF(TODAY()&gt;H96,"Overdue","Within SLA"))))</f>
        <v/>
      </c>
      <c r="P96" s="8" t="n"/>
    </row>
    <row r="97" ht="28" customHeight="1">
      <c r="A97" s="8" t="n"/>
      <c r="B97" s="8" t="n"/>
      <c r="C97" s="8" t="n"/>
      <c r="D97" s="8" t="n"/>
      <c r="E97" s="8" t="n"/>
      <c r="F97" s="9" t="n"/>
      <c r="G97" s="8" t="n"/>
      <c r="H97" s="10">
        <f>IF(OR(E97="",G97=""),"",G97+IF(E97="Critical",7,IF(E97="High",30,IF(E97="Medium",90,180))))</f>
        <v/>
      </c>
      <c r="I97" s="8" t="n"/>
      <c r="J97" s="8" t="n"/>
      <c r="K97" s="8" t="n"/>
      <c r="L97" s="8" t="n"/>
      <c r="M97" s="8" t="n"/>
      <c r="N97" s="8" t="n"/>
      <c r="O97" s="11">
        <f>IF(H97="","",IF(OR(J97="Fixed",J97="Closed",J97="False positive"),"Closed",IF(J97="Risk accepted","Exception",IF(TODAY()&gt;H97,"Overdue","Within SLA"))))</f>
        <v/>
      </c>
      <c r="P97" s="8" t="n"/>
    </row>
    <row r="98" ht="28" customHeight="1">
      <c r="A98" s="8" t="n"/>
      <c r="B98" s="8" t="n"/>
      <c r="C98" s="8" t="n"/>
      <c r="D98" s="8" t="n"/>
      <c r="E98" s="8" t="n"/>
      <c r="F98" s="9" t="n"/>
      <c r="G98" s="8" t="n"/>
      <c r="H98" s="10">
        <f>IF(OR(E98="",G98=""),"",G98+IF(E98="Critical",7,IF(E98="High",30,IF(E98="Medium",90,180))))</f>
        <v/>
      </c>
      <c r="I98" s="8" t="n"/>
      <c r="J98" s="8" t="n"/>
      <c r="K98" s="8" t="n"/>
      <c r="L98" s="8" t="n"/>
      <c r="M98" s="8" t="n"/>
      <c r="N98" s="8" t="n"/>
      <c r="O98" s="11">
        <f>IF(H98="","",IF(OR(J98="Fixed",J98="Closed",J98="False positive"),"Closed",IF(J98="Risk accepted","Exception",IF(TODAY()&gt;H98,"Overdue","Within SLA"))))</f>
        <v/>
      </c>
      <c r="P98" s="8" t="n"/>
    </row>
    <row r="99" ht="28" customHeight="1">
      <c r="A99" s="8" t="n"/>
      <c r="B99" s="8" t="n"/>
      <c r="C99" s="8" t="n"/>
      <c r="D99" s="8" t="n"/>
      <c r="E99" s="8" t="n"/>
      <c r="F99" s="9" t="n"/>
      <c r="G99" s="8" t="n"/>
      <c r="H99" s="10">
        <f>IF(OR(E99="",G99=""),"",G99+IF(E99="Critical",7,IF(E99="High",30,IF(E99="Medium",90,180))))</f>
        <v/>
      </c>
      <c r="I99" s="8" t="n"/>
      <c r="J99" s="8" t="n"/>
      <c r="K99" s="8" t="n"/>
      <c r="L99" s="8" t="n"/>
      <c r="M99" s="8" t="n"/>
      <c r="N99" s="8" t="n"/>
      <c r="O99" s="11">
        <f>IF(H99="","",IF(OR(J99="Fixed",J99="Closed",J99="False positive"),"Closed",IF(J99="Risk accepted","Exception",IF(TODAY()&gt;H99,"Overdue","Within SLA"))))</f>
        <v/>
      </c>
      <c r="P99" s="8" t="n"/>
    </row>
    <row r="100" ht="28" customHeight="1">
      <c r="A100" s="8" t="n"/>
      <c r="B100" s="8" t="n"/>
      <c r="C100" s="8" t="n"/>
      <c r="D100" s="8" t="n"/>
      <c r="E100" s="8" t="n"/>
      <c r="F100" s="9" t="n"/>
      <c r="G100" s="8" t="n"/>
      <c r="H100" s="10">
        <f>IF(OR(E100="",G100=""),"",G100+IF(E100="Critical",7,IF(E100="High",30,IF(E100="Medium",90,180))))</f>
        <v/>
      </c>
      <c r="I100" s="8" t="n"/>
      <c r="J100" s="8" t="n"/>
      <c r="K100" s="8" t="n"/>
      <c r="L100" s="8" t="n"/>
      <c r="M100" s="8" t="n"/>
      <c r="N100" s="8" t="n"/>
      <c r="O100" s="11">
        <f>IF(H100="","",IF(OR(J100="Fixed",J100="Closed",J100="False positive"),"Closed",IF(J100="Risk accepted","Exception",IF(TODAY()&gt;H100,"Overdue","Within SLA"))))</f>
        <v/>
      </c>
      <c r="P100" s="8" t="n"/>
    </row>
    <row r="101" ht="28" customHeight="1">
      <c r="A101" s="8" t="n"/>
      <c r="B101" s="8" t="n"/>
      <c r="C101" s="8" t="n"/>
      <c r="D101" s="8" t="n"/>
      <c r="E101" s="8" t="n"/>
      <c r="F101" s="9" t="n"/>
      <c r="G101" s="8" t="n"/>
      <c r="H101" s="10">
        <f>IF(OR(E101="",G101=""),"",G101+IF(E101="Critical",7,IF(E101="High",30,IF(E101="Medium",90,180))))</f>
        <v/>
      </c>
      <c r="I101" s="8" t="n"/>
      <c r="J101" s="8" t="n"/>
      <c r="K101" s="8" t="n"/>
      <c r="L101" s="8" t="n"/>
      <c r="M101" s="8" t="n"/>
      <c r="N101" s="8" t="n"/>
      <c r="O101" s="11">
        <f>IF(H101="","",IF(OR(J101="Fixed",J101="Closed",J101="False positive"),"Closed",IF(J101="Risk accepted","Exception",IF(TODAY()&gt;H101,"Overdue","Within SLA"))))</f>
        <v/>
      </c>
      <c r="P101" s="8" t="n"/>
    </row>
    <row r="102" ht="28" customHeight="1">
      <c r="A102" s="8" t="n"/>
      <c r="B102" s="8" t="n"/>
      <c r="C102" s="8" t="n"/>
      <c r="D102" s="8" t="n"/>
      <c r="E102" s="8" t="n"/>
      <c r="F102" s="9" t="n"/>
      <c r="G102" s="8" t="n"/>
      <c r="H102" s="10">
        <f>IF(OR(E102="",G102=""),"",G102+IF(E102="Critical",7,IF(E102="High",30,IF(E102="Medium",90,180))))</f>
        <v/>
      </c>
      <c r="I102" s="8" t="n"/>
      <c r="J102" s="8" t="n"/>
      <c r="K102" s="8" t="n"/>
      <c r="L102" s="8" t="n"/>
      <c r="M102" s="8" t="n"/>
      <c r="N102" s="8" t="n"/>
      <c r="O102" s="11">
        <f>IF(H102="","",IF(OR(J102="Fixed",J102="Closed",J102="False positive"),"Closed",IF(J102="Risk accepted","Exception",IF(TODAY()&gt;H102,"Overdue","Within SLA"))))</f>
        <v/>
      </c>
      <c r="P102" s="8" t="n"/>
    </row>
    <row r="103" ht="28" customHeight="1">
      <c r="A103" s="8" t="n"/>
      <c r="B103" s="8" t="n"/>
      <c r="C103" s="8" t="n"/>
      <c r="D103" s="8" t="n"/>
      <c r="E103" s="8" t="n"/>
      <c r="F103" s="9" t="n"/>
      <c r="G103" s="8" t="n"/>
      <c r="H103" s="10">
        <f>IF(OR(E103="",G103=""),"",G103+IF(E103="Critical",7,IF(E103="High",30,IF(E103="Medium",90,180))))</f>
        <v/>
      </c>
      <c r="I103" s="8" t="n"/>
      <c r="J103" s="8" t="n"/>
      <c r="K103" s="8" t="n"/>
      <c r="L103" s="8" t="n"/>
      <c r="M103" s="8" t="n"/>
      <c r="N103" s="8" t="n"/>
      <c r="O103" s="11">
        <f>IF(H103="","",IF(OR(J103="Fixed",J103="Closed",J103="False positive"),"Closed",IF(J103="Risk accepted","Exception",IF(TODAY()&gt;H103,"Overdue","Within SLA"))))</f>
        <v/>
      </c>
      <c r="P103" s="8" t="n"/>
    </row>
    <row r="104" ht="28" customHeight="1">
      <c r="A104" s="8" t="n"/>
      <c r="B104" s="8" t="n"/>
      <c r="C104" s="8" t="n"/>
      <c r="D104" s="8" t="n"/>
      <c r="E104" s="8" t="n"/>
      <c r="F104" s="9" t="n"/>
      <c r="G104" s="8" t="n"/>
      <c r="H104" s="10">
        <f>IF(OR(E104="",G104=""),"",G104+IF(E104="Critical",7,IF(E104="High",30,IF(E104="Medium",90,180))))</f>
        <v/>
      </c>
      <c r="I104" s="8" t="n"/>
      <c r="J104" s="8" t="n"/>
      <c r="K104" s="8" t="n"/>
      <c r="L104" s="8" t="n"/>
      <c r="M104" s="8" t="n"/>
      <c r="N104" s="8" t="n"/>
      <c r="O104" s="11">
        <f>IF(H104="","",IF(OR(J104="Fixed",J104="Closed",J104="False positive"),"Closed",IF(J104="Risk accepted","Exception",IF(TODAY()&gt;H104,"Overdue","Within SLA"))))</f>
        <v/>
      </c>
      <c r="P104" s="8" t="n"/>
    </row>
    <row r="105" ht="28" customHeight="1">
      <c r="A105" s="8" t="n"/>
      <c r="B105" s="8" t="n"/>
      <c r="C105" s="8" t="n"/>
      <c r="D105" s="8" t="n"/>
      <c r="E105" s="8" t="n"/>
      <c r="F105" s="9" t="n"/>
      <c r="G105" s="8" t="n"/>
      <c r="H105" s="10">
        <f>IF(OR(E105="",G105=""),"",G105+IF(E105="Critical",7,IF(E105="High",30,IF(E105="Medium",90,180))))</f>
        <v/>
      </c>
      <c r="I105" s="8" t="n"/>
      <c r="J105" s="8" t="n"/>
      <c r="K105" s="8" t="n"/>
      <c r="L105" s="8" t="n"/>
      <c r="M105" s="8" t="n"/>
      <c r="N105" s="8" t="n"/>
      <c r="O105" s="11">
        <f>IF(H105="","",IF(OR(J105="Fixed",J105="Closed",J105="False positive"),"Closed",IF(J105="Risk accepted","Exception",IF(TODAY()&gt;H105,"Overdue","Within SLA"))))</f>
        <v/>
      </c>
      <c r="P105" s="8" t="n"/>
    </row>
    <row r="106" ht="28" customHeight="1">
      <c r="A106" s="8" t="n"/>
      <c r="B106" s="8" t="n"/>
      <c r="C106" s="8" t="n"/>
      <c r="D106" s="8" t="n"/>
      <c r="E106" s="8" t="n"/>
      <c r="F106" s="9" t="n"/>
      <c r="G106" s="8" t="n"/>
      <c r="H106" s="10">
        <f>IF(OR(E106="",G106=""),"",G106+IF(E106="Critical",7,IF(E106="High",30,IF(E106="Medium",90,180))))</f>
        <v/>
      </c>
      <c r="I106" s="8" t="n"/>
      <c r="J106" s="8" t="n"/>
      <c r="K106" s="8" t="n"/>
      <c r="L106" s="8" t="n"/>
      <c r="M106" s="8" t="n"/>
      <c r="N106" s="8" t="n"/>
      <c r="O106" s="11">
        <f>IF(H106="","",IF(OR(J106="Fixed",J106="Closed",J106="False positive"),"Closed",IF(J106="Risk accepted","Exception",IF(TODAY()&gt;H106,"Overdue","Within SLA"))))</f>
        <v/>
      </c>
      <c r="P106" s="8" t="n"/>
    </row>
    <row r="107" ht="28" customHeight="1">
      <c r="A107" s="8" t="n"/>
      <c r="B107" s="8" t="n"/>
      <c r="C107" s="8" t="n"/>
      <c r="D107" s="8" t="n"/>
      <c r="E107" s="8" t="n"/>
      <c r="F107" s="9" t="n"/>
      <c r="G107" s="8" t="n"/>
      <c r="H107" s="10">
        <f>IF(OR(E107="",G107=""),"",G107+IF(E107="Critical",7,IF(E107="High",30,IF(E107="Medium",90,180))))</f>
        <v/>
      </c>
      <c r="I107" s="8" t="n"/>
      <c r="J107" s="8" t="n"/>
      <c r="K107" s="8" t="n"/>
      <c r="L107" s="8" t="n"/>
      <c r="M107" s="8" t="n"/>
      <c r="N107" s="8" t="n"/>
      <c r="O107" s="11">
        <f>IF(H107="","",IF(OR(J107="Fixed",J107="Closed",J107="False positive"),"Closed",IF(J107="Risk accepted","Exception",IF(TODAY()&gt;H107,"Overdue","Within SLA"))))</f>
        <v/>
      </c>
      <c r="P107" s="8" t="n"/>
    </row>
    <row r="108" ht="28" customHeight="1">
      <c r="A108" s="8" t="n"/>
      <c r="B108" s="8" t="n"/>
      <c r="C108" s="8" t="n"/>
      <c r="D108" s="8" t="n"/>
      <c r="E108" s="8" t="n"/>
      <c r="F108" s="9" t="n"/>
      <c r="G108" s="8" t="n"/>
      <c r="H108" s="10">
        <f>IF(OR(E108="",G108=""),"",G108+IF(E108="Critical",7,IF(E108="High",30,IF(E108="Medium",90,180))))</f>
        <v/>
      </c>
      <c r="I108" s="8" t="n"/>
      <c r="J108" s="8" t="n"/>
      <c r="K108" s="8" t="n"/>
      <c r="L108" s="8" t="n"/>
      <c r="M108" s="8" t="n"/>
      <c r="N108" s="8" t="n"/>
      <c r="O108" s="11">
        <f>IF(H108="","",IF(OR(J108="Fixed",J108="Closed",J108="False positive"),"Closed",IF(J108="Risk accepted","Exception",IF(TODAY()&gt;H108,"Overdue","Within SLA"))))</f>
        <v/>
      </c>
      <c r="P108" s="8" t="n"/>
    </row>
    <row r="109" ht="28" customHeight="1">
      <c r="A109" s="8" t="n"/>
      <c r="B109" s="8" t="n"/>
      <c r="C109" s="8" t="n"/>
      <c r="D109" s="8" t="n"/>
      <c r="E109" s="8" t="n"/>
      <c r="F109" s="9" t="n"/>
      <c r="G109" s="8" t="n"/>
      <c r="H109" s="10">
        <f>IF(OR(E109="",G109=""),"",G109+IF(E109="Critical",7,IF(E109="High",30,IF(E109="Medium",90,180))))</f>
        <v/>
      </c>
      <c r="I109" s="8" t="n"/>
      <c r="J109" s="8" t="n"/>
      <c r="K109" s="8" t="n"/>
      <c r="L109" s="8" t="n"/>
      <c r="M109" s="8" t="n"/>
      <c r="N109" s="8" t="n"/>
      <c r="O109" s="11">
        <f>IF(H109="","",IF(OR(J109="Fixed",J109="Closed",J109="False positive"),"Closed",IF(J109="Risk accepted","Exception",IF(TODAY()&gt;H109,"Overdue","Within SLA"))))</f>
        <v/>
      </c>
      <c r="P109" s="8" t="n"/>
    </row>
    <row r="110" ht="28" customHeight="1">
      <c r="A110" s="8" t="n"/>
      <c r="B110" s="8" t="n"/>
      <c r="C110" s="8" t="n"/>
      <c r="D110" s="8" t="n"/>
      <c r="E110" s="8" t="n"/>
      <c r="F110" s="9" t="n"/>
      <c r="G110" s="8" t="n"/>
      <c r="H110" s="10">
        <f>IF(OR(E110="",G110=""),"",G110+IF(E110="Critical",7,IF(E110="High",30,IF(E110="Medium",90,180))))</f>
        <v/>
      </c>
      <c r="I110" s="8" t="n"/>
      <c r="J110" s="8" t="n"/>
      <c r="K110" s="8" t="n"/>
      <c r="L110" s="8" t="n"/>
      <c r="M110" s="8" t="n"/>
      <c r="N110" s="8" t="n"/>
      <c r="O110" s="11">
        <f>IF(H110="","",IF(OR(J110="Fixed",J110="Closed",J110="False positive"),"Closed",IF(J110="Risk accepted","Exception",IF(TODAY()&gt;H110,"Overdue","Within SLA"))))</f>
        <v/>
      </c>
      <c r="P110" s="8" t="n"/>
    </row>
  </sheetData>
  <mergeCells count="3">
    <mergeCell ref="A9:P9"/>
    <mergeCell ref="A8:P8"/>
    <mergeCell ref="A2:P2"/>
  </mergeCells>
  <dataValidations count="7">
    <dataValidation sqref="B11:B110" showDropDown="0" showInputMessage="0" showErrorMessage="0" allowBlank="1" errorTitle="Invalid entry" error="Choose a value from the list." type="list">
      <formula1>"Scanner,Dependency analysis,Cloud configuration check,Vendor advisory,Penetration test,External report,Incident,Other"</formula1>
    </dataValidation>
    <dataValidation sqref="E11:E110" showDropDown="0" showInputMessage="0" showErrorMessage="0" allowBlank="1" errorTitle="Invalid entry" error="Choose a value from the list." type="list">
      <formula1>"Critical,High,Medium,Low"</formula1>
    </dataValidation>
    <dataValidation sqref="G11:G110" showDropDown="0" showInputMessage="0" showErrorMessage="0" allowBlank="1" errorTitle="Invalid entry" error="Enter a date." type="date" operator="greaterThan">
      <formula1>1</formula1>
    </dataValidation>
    <dataValidation sqref="J11:J110" showDropDown="0" showInputMessage="0" showErrorMessage="0" allowBlank="1" errorTitle="Invalid entry" error="Choose a value from the list." type="list">
      <formula1>"Open,In progress,Fixed,Risk accepted,False positive,Closed"</formula1>
    </dataValidation>
    <dataValidation sqref="K11:K110" showDropDown="0" showInputMessage="0" showErrorMessage="0" allowBlank="1" errorTitle="Invalid entry" error="Enter a date." type="date" operator="greaterThan">
      <formula1>1</formula1>
    </dataValidation>
    <dataValidation sqref="L11:L110" showDropDown="0" showInputMessage="0" showErrorMessage="0" allowBlank="1" errorTitle="Invalid entry" error="Choose a value from the list." type="list">
      <formula1>"Not yet verified,Rescan clean,Manually verified,Not applicable"</formula1>
    </dataValidation>
    <dataValidation sqref="M11:M110" showDropDown="0" showInputMessage="0" showErrorMessage="0" allowBlank="1" errorTitle="Invalid entry" error="Enter a date." type="date" operator="greaterThan">
      <formula1>1</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2026-10-25T21:28:06Z</dcterms:created>
  <dcterms:modified xmlns:dcterms="http://purl.org/dc/terms/" xmlns:xsi="http://www.w3.org/2001/XMLSchema-instance" xsi:type="dcterms:W3CDTF">2026-10-25T21:28:06Z</dcterms:modified>
</cp:coreProperties>
</file>