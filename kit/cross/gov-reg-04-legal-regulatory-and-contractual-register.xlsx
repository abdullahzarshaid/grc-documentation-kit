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l, regulatory and contrac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04LegalRegulatoryAndContractualRegisterTable" displayName="GovReg04LegalRegulatoryAndContractualRegisterTable" ref="A10:N110" headerRowCount="1">
  <autoFilter ref="A10:N110"/>
  <tableColumns count="14">
    <tableColumn id="1" name="Reference"/>
    <tableColumn id="2" name="Obligation"/>
    <tableColumn id="3" name="Source"/>
    <tableColumn id="4" name="Jurisdiction"/>
    <tableColumn id="5" name="Applies as"/>
    <tableColumn id="6" name="Owner (role)"/>
    <tableColumn id="7" name="Controls and documents"/>
    <tableColumn id="8" name="Evidence"/>
    <tableColumn id="9" name="Status"/>
    <tableColumn id="10" name="Review frequency"/>
    <tableColumn id="11" name="Last review"/>
    <tableColumn id="12" name="Next review"/>
    <tableColumn id="13" name="Linked risk or action"/>
    <tableColumn id="14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N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  <col width="16" customWidth="1" min="4" max="4"/>
    <col width="12" customWidth="1" min="5" max="5"/>
    <col width="20" customWidth="1" min="6" max="6"/>
    <col width="32" customWidth="1" min="7" max="7"/>
    <col width="32" customWidth="1" min="8" max="8"/>
    <col width="13" customWidth="1" min="9" max="9"/>
    <col width="14" customWidth="1" min="10" max="10"/>
    <col width="13" customWidth="1" min="11" max="11"/>
    <col width="13" customWidth="1" min="12" max="12"/>
    <col width="18" customWidth="1" min="13" max="13"/>
    <col width="30" customWidth="1" min="14" max="14"/>
  </cols>
  <sheetData>
    <row r="2">
      <c r="A2" s="1" t="inlineStr">
        <is>
          <t>Legal, regulatory and contractual register</t>
        </is>
      </c>
    </row>
    <row r="3">
      <c r="A3" s="2" t="inlineStr">
        <is>
          <t>GOV-REG-04. 100 prepared rows. Keep completed copies in your organisation's approved storage; do not publish filled registers.</t>
        </is>
      </c>
    </row>
    <row r="4">
      <c r="A4" s="2" t="inlineStr">
        <is>
          <t>Serves: ISO/IEC 27001:2022 Annex A 5.31; ISO/IEC 27001:2022 Annex A 5.34; SOC 2 CC2.3; GDPR Article 24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COUNTA(I11:I110)</f>
        <v/>
      </c>
      <c r="C6" s="5" t="n"/>
    </row>
    <row r="8" ht="44" customHeight="1">
      <c r="A8" s="6" t="inlineStr">
        <is>
          <t>The list of obligations that apply to the organisation's information, privacy and records, one row per distinct requirement, maintained under GOV-PRO-25. Each row ties the obligation to the controls and documents that satisfy it, the evidence that proves it, and a status that shows where gaps remain.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Reference</t>
        </is>
      </c>
      <c r="B10" s="7" t="inlineStr">
        <is>
          <t>Obligation</t>
        </is>
      </c>
      <c r="C10" s="7" t="inlineStr">
        <is>
          <t>Source</t>
        </is>
      </c>
      <c r="D10" s="7" t="inlineStr">
        <is>
          <t>Jurisdiction</t>
        </is>
      </c>
      <c r="E10" s="7" t="inlineStr">
        <is>
          <t>Applies as</t>
        </is>
      </c>
      <c r="F10" s="7" t="inlineStr">
        <is>
          <t>Owner (role)</t>
        </is>
      </c>
      <c r="G10" s="7" t="inlineStr">
        <is>
          <t>Controls and documents</t>
        </is>
      </c>
      <c r="H10" s="7" t="inlineStr">
        <is>
          <t>Evidence</t>
        </is>
      </c>
      <c r="I10" s="7" t="inlineStr">
        <is>
          <t>Status</t>
        </is>
      </c>
      <c r="J10" s="7" t="inlineStr">
        <is>
          <t>Review frequency</t>
        </is>
      </c>
      <c r="K10" s="7" t="inlineStr">
        <is>
          <t>Last review</t>
        </is>
      </c>
      <c r="L10" s="7" t="inlineStr">
        <is>
          <t>Next review</t>
        </is>
      </c>
      <c r="M10" s="7" t="inlineStr">
        <is>
          <t>Linked risk or action</t>
        </is>
      </c>
      <c r="N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9">
        <f>IF(OR(K11="",J11=""),"",IF(J11="Quarterly",EDATE(K11,3),IF(J11="Semi-annual",EDATE(K11,6),IF(J11="Annual",EDATE(K11,12),"On change"))))</f>
        <v/>
      </c>
      <c r="M11" s="8" t="n"/>
      <c r="N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9">
        <f>IF(OR(K12="",J12=""),"",IF(J12="Quarterly",EDATE(K12,3),IF(J12="Semi-annual",EDATE(K12,6),IF(J12="Annual",EDATE(K12,12),"On change"))))</f>
        <v/>
      </c>
      <c r="M12" s="8" t="n"/>
      <c r="N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9">
        <f>IF(OR(K13="",J13=""),"",IF(J13="Quarterly",EDATE(K13,3),IF(J13="Semi-annual",EDATE(K13,6),IF(J13="Annual",EDATE(K13,12),"On change"))))</f>
        <v/>
      </c>
      <c r="M13" s="8" t="n"/>
      <c r="N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9">
        <f>IF(OR(K14="",J14=""),"",IF(J14="Quarterly",EDATE(K14,3),IF(J14="Semi-annual",EDATE(K14,6),IF(J14="Annual",EDATE(K14,12),"On change"))))</f>
        <v/>
      </c>
      <c r="M14" s="8" t="n"/>
      <c r="N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9">
        <f>IF(OR(K15="",J15=""),"",IF(J15="Quarterly",EDATE(K15,3),IF(J15="Semi-annual",EDATE(K15,6),IF(J15="Annual",EDATE(K15,12),"On change"))))</f>
        <v/>
      </c>
      <c r="M15" s="8" t="n"/>
      <c r="N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9">
        <f>IF(OR(K16="",J16=""),"",IF(J16="Quarterly",EDATE(K16,3),IF(J16="Semi-annual",EDATE(K16,6),IF(J16="Annual",EDATE(K16,12),"On change"))))</f>
        <v/>
      </c>
      <c r="M16" s="8" t="n"/>
      <c r="N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9">
        <f>IF(OR(K17="",J17=""),"",IF(J17="Quarterly",EDATE(K17,3),IF(J17="Semi-annual",EDATE(K17,6),IF(J17="Annual",EDATE(K17,12),"On change"))))</f>
        <v/>
      </c>
      <c r="M17" s="8" t="n"/>
      <c r="N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9">
        <f>IF(OR(K18="",J18=""),"",IF(J18="Quarterly",EDATE(K18,3),IF(J18="Semi-annual",EDATE(K18,6),IF(J18="Annual",EDATE(K18,12),"On change"))))</f>
        <v/>
      </c>
      <c r="M18" s="8" t="n"/>
      <c r="N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9">
        <f>IF(OR(K19="",J19=""),"",IF(J19="Quarterly",EDATE(K19,3),IF(J19="Semi-annual",EDATE(K19,6),IF(J19="Annual",EDATE(K19,12),"On change"))))</f>
        <v/>
      </c>
      <c r="M19" s="8" t="n"/>
      <c r="N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9">
        <f>IF(OR(K20="",J20=""),"",IF(J20="Quarterly",EDATE(K20,3),IF(J20="Semi-annual",EDATE(K20,6),IF(J20="Annual",EDATE(K20,12),"On change"))))</f>
        <v/>
      </c>
      <c r="M20" s="8" t="n"/>
      <c r="N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9">
        <f>IF(OR(K21="",J21=""),"",IF(J21="Quarterly",EDATE(K21,3),IF(J21="Semi-annual",EDATE(K21,6),IF(J21="Annual",EDATE(K21,12),"On change"))))</f>
        <v/>
      </c>
      <c r="M21" s="8" t="n"/>
      <c r="N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9">
        <f>IF(OR(K22="",J22=""),"",IF(J22="Quarterly",EDATE(K22,3),IF(J22="Semi-annual",EDATE(K22,6),IF(J22="Annual",EDATE(K22,12),"On change"))))</f>
        <v/>
      </c>
      <c r="M22" s="8" t="n"/>
      <c r="N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9">
        <f>IF(OR(K23="",J23=""),"",IF(J23="Quarterly",EDATE(K23,3),IF(J23="Semi-annual",EDATE(K23,6),IF(J23="Annual",EDATE(K23,12),"On change"))))</f>
        <v/>
      </c>
      <c r="M23" s="8" t="n"/>
      <c r="N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9">
        <f>IF(OR(K24="",J24=""),"",IF(J24="Quarterly",EDATE(K24,3),IF(J24="Semi-annual",EDATE(K24,6),IF(J24="Annual",EDATE(K24,12),"On change"))))</f>
        <v/>
      </c>
      <c r="M24" s="8" t="n"/>
      <c r="N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9">
        <f>IF(OR(K25="",J25=""),"",IF(J25="Quarterly",EDATE(K25,3),IF(J25="Semi-annual",EDATE(K25,6),IF(J25="Annual",EDATE(K25,12),"On change"))))</f>
        <v/>
      </c>
      <c r="M25" s="8" t="n"/>
      <c r="N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9">
        <f>IF(OR(K26="",J26=""),"",IF(J26="Quarterly",EDATE(K26,3),IF(J26="Semi-annual",EDATE(K26,6),IF(J26="Annual",EDATE(K26,12),"On change"))))</f>
        <v/>
      </c>
      <c r="M26" s="8" t="n"/>
      <c r="N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9">
        <f>IF(OR(K27="",J27=""),"",IF(J27="Quarterly",EDATE(K27,3),IF(J27="Semi-annual",EDATE(K27,6),IF(J27="Annual",EDATE(K27,12),"On change"))))</f>
        <v/>
      </c>
      <c r="M27" s="8" t="n"/>
      <c r="N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9">
        <f>IF(OR(K28="",J28=""),"",IF(J28="Quarterly",EDATE(K28,3),IF(J28="Semi-annual",EDATE(K28,6),IF(J28="Annual",EDATE(K28,12),"On change"))))</f>
        <v/>
      </c>
      <c r="M28" s="8" t="n"/>
      <c r="N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9">
        <f>IF(OR(K29="",J29=""),"",IF(J29="Quarterly",EDATE(K29,3),IF(J29="Semi-annual",EDATE(K29,6),IF(J29="Annual",EDATE(K29,12),"On change"))))</f>
        <v/>
      </c>
      <c r="M29" s="8" t="n"/>
      <c r="N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9">
        <f>IF(OR(K30="",J30=""),"",IF(J30="Quarterly",EDATE(K30,3),IF(J30="Semi-annual",EDATE(K30,6),IF(J30="Annual",EDATE(K30,12),"On change"))))</f>
        <v/>
      </c>
      <c r="M30" s="8" t="n"/>
      <c r="N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9">
        <f>IF(OR(K31="",J31=""),"",IF(J31="Quarterly",EDATE(K31,3),IF(J31="Semi-annual",EDATE(K31,6),IF(J31="Annual",EDATE(K31,12),"On change"))))</f>
        <v/>
      </c>
      <c r="M31" s="8" t="n"/>
      <c r="N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9">
        <f>IF(OR(K32="",J32=""),"",IF(J32="Quarterly",EDATE(K32,3),IF(J32="Semi-annual",EDATE(K32,6),IF(J32="Annual",EDATE(K32,12),"On change"))))</f>
        <v/>
      </c>
      <c r="M32" s="8" t="n"/>
      <c r="N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9">
        <f>IF(OR(K33="",J33=""),"",IF(J33="Quarterly",EDATE(K33,3),IF(J33="Semi-annual",EDATE(K33,6),IF(J33="Annual",EDATE(K33,12),"On change"))))</f>
        <v/>
      </c>
      <c r="M33" s="8" t="n"/>
      <c r="N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9">
        <f>IF(OR(K34="",J34=""),"",IF(J34="Quarterly",EDATE(K34,3),IF(J34="Semi-annual",EDATE(K34,6),IF(J34="Annual",EDATE(K34,12),"On change"))))</f>
        <v/>
      </c>
      <c r="M34" s="8" t="n"/>
      <c r="N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9">
        <f>IF(OR(K35="",J35=""),"",IF(J35="Quarterly",EDATE(K35,3),IF(J35="Semi-annual",EDATE(K35,6),IF(J35="Annual",EDATE(K35,12),"On change"))))</f>
        <v/>
      </c>
      <c r="M35" s="8" t="n"/>
      <c r="N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9">
        <f>IF(OR(K36="",J36=""),"",IF(J36="Quarterly",EDATE(K36,3),IF(J36="Semi-annual",EDATE(K36,6),IF(J36="Annual",EDATE(K36,12),"On change"))))</f>
        <v/>
      </c>
      <c r="M36" s="8" t="n"/>
      <c r="N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9">
        <f>IF(OR(K37="",J37=""),"",IF(J37="Quarterly",EDATE(K37,3),IF(J37="Semi-annual",EDATE(K37,6),IF(J37="Annual",EDATE(K37,12),"On change"))))</f>
        <v/>
      </c>
      <c r="M37" s="8" t="n"/>
      <c r="N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9">
        <f>IF(OR(K38="",J38=""),"",IF(J38="Quarterly",EDATE(K38,3),IF(J38="Semi-annual",EDATE(K38,6),IF(J38="Annual",EDATE(K38,12),"On change"))))</f>
        <v/>
      </c>
      <c r="M38" s="8" t="n"/>
      <c r="N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9">
        <f>IF(OR(K39="",J39=""),"",IF(J39="Quarterly",EDATE(K39,3),IF(J39="Semi-annual",EDATE(K39,6),IF(J39="Annual",EDATE(K39,12),"On change"))))</f>
        <v/>
      </c>
      <c r="M39" s="8" t="n"/>
      <c r="N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9">
        <f>IF(OR(K40="",J40=""),"",IF(J40="Quarterly",EDATE(K40,3),IF(J40="Semi-annual",EDATE(K40,6),IF(J40="Annual",EDATE(K40,12),"On change"))))</f>
        <v/>
      </c>
      <c r="M40" s="8" t="n"/>
      <c r="N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9">
        <f>IF(OR(K41="",J41=""),"",IF(J41="Quarterly",EDATE(K41,3),IF(J41="Semi-annual",EDATE(K41,6),IF(J41="Annual",EDATE(K41,12),"On change"))))</f>
        <v/>
      </c>
      <c r="M41" s="8" t="n"/>
      <c r="N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9">
        <f>IF(OR(K42="",J42=""),"",IF(J42="Quarterly",EDATE(K42,3),IF(J42="Semi-annual",EDATE(K42,6),IF(J42="Annual",EDATE(K42,12),"On change"))))</f>
        <v/>
      </c>
      <c r="M42" s="8" t="n"/>
      <c r="N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9">
        <f>IF(OR(K43="",J43=""),"",IF(J43="Quarterly",EDATE(K43,3),IF(J43="Semi-annual",EDATE(K43,6),IF(J43="Annual",EDATE(K43,12),"On change"))))</f>
        <v/>
      </c>
      <c r="M43" s="8" t="n"/>
      <c r="N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9">
        <f>IF(OR(K44="",J44=""),"",IF(J44="Quarterly",EDATE(K44,3),IF(J44="Semi-annual",EDATE(K44,6),IF(J44="Annual",EDATE(K44,12),"On change"))))</f>
        <v/>
      </c>
      <c r="M44" s="8" t="n"/>
      <c r="N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9">
        <f>IF(OR(K45="",J45=""),"",IF(J45="Quarterly",EDATE(K45,3),IF(J45="Semi-annual",EDATE(K45,6),IF(J45="Annual",EDATE(K45,12),"On change"))))</f>
        <v/>
      </c>
      <c r="M45" s="8" t="n"/>
      <c r="N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9">
        <f>IF(OR(K46="",J46=""),"",IF(J46="Quarterly",EDATE(K46,3),IF(J46="Semi-annual",EDATE(K46,6),IF(J46="Annual",EDATE(K46,12),"On change"))))</f>
        <v/>
      </c>
      <c r="M46" s="8" t="n"/>
      <c r="N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9">
        <f>IF(OR(K47="",J47=""),"",IF(J47="Quarterly",EDATE(K47,3),IF(J47="Semi-annual",EDATE(K47,6),IF(J47="Annual",EDATE(K47,12),"On change"))))</f>
        <v/>
      </c>
      <c r="M47" s="8" t="n"/>
      <c r="N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9">
        <f>IF(OR(K48="",J48=""),"",IF(J48="Quarterly",EDATE(K48,3),IF(J48="Semi-annual",EDATE(K48,6),IF(J48="Annual",EDATE(K48,12),"On change"))))</f>
        <v/>
      </c>
      <c r="M48" s="8" t="n"/>
      <c r="N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9">
        <f>IF(OR(K49="",J49=""),"",IF(J49="Quarterly",EDATE(K49,3),IF(J49="Semi-annual",EDATE(K49,6),IF(J49="Annual",EDATE(K49,12),"On change"))))</f>
        <v/>
      </c>
      <c r="M49" s="8" t="n"/>
      <c r="N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9">
        <f>IF(OR(K50="",J50=""),"",IF(J50="Quarterly",EDATE(K50,3),IF(J50="Semi-annual",EDATE(K50,6),IF(J50="Annual",EDATE(K50,12),"On change"))))</f>
        <v/>
      </c>
      <c r="M50" s="8" t="n"/>
      <c r="N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9">
        <f>IF(OR(K51="",J51=""),"",IF(J51="Quarterly",EDATE(K51,3),IF(J51="Semi-annual",EDATE(K51,6),IF(J51="Annual",EDATE(K51,12),"On change"))))</f>
        <v/>
      </c>
      <c r="M51" s="8" t="n"/>
      <c r="N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9">
        <f>IF(OR(K52="",J52=""),"",IF(J52="Quarterly",EDATE(K52,3),IF(J52="Semi-annual",EDATE(K52,6),IF(J52="Annual",EDATE(K52,12),"On change"))))</f>
        <v/>
      </c>
      <c r="M52" s="8" t="n"/>
      <c r="N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9">
        <f>IF(OR(K53="",J53=""),"",IF(J53="Quarterly",EDATE(K53,3),IF(J53="Semi-annual",EDATE(K53,6),IF(J53="Annual",EDATE(K53,12),"On change"))))</f>
        <v/>
      </c>
      <c r="M53" s="8" t="n"/>
      <c r="N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9">
        <f>IF(OR(K54="",J54=""),"",IF(J54="Quarterly",EDATE(K54,3),IF(J54="Semi-annual",EDATE(K54,6),IF(J54="Annual",EDATE(K54,12),"On change"))))</f>
        <v/>
      </c>
      <c r="M54" s="8" t="n"/>
      <c r="N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9">
        <f>IF(OR(K55="",J55=""),"",IF(J55="Quarterly",EDATE(K55,3),IF(J55="Semi-annual",EDATE(K55,6),IF(J55="Annual",EDATE(K55,12),"On change"))))</f>
        <v/>
      </c>
      <c r="M55" s="8" t="n"/>
      <c r="N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9">
        <f>IF(OR(K56="",J56=""),"",IF(J56="Quarterly",EDATE(K56,3),IF(J56="Semi-annual",EDATE(K56,6),IF(J56="Annual",EDATE(K56,12),"On change"))))</f>
        <v/>
      </c>
      <c r="M56" s="8" t="n"/>
      <c r="N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9">
        <f>IF(OR(K57="",J57=""),"",IF(J57="Quarterly",EDATE(K57,3),IF(J57="Semi-annual",EDATE(K57,6),IF(J57="Annual",EDATE(K57,12),"On change"))))</f>
        <v/>
      </c>
      <c r="M57" s="8" t="n"/>
      <c r="N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9">
        <f>IF(OR(K58="",J58=""),"",IF(J58="Quarterly",EDATE(K58,3),IF(J58="Semi-annual",EDATE(K58,6),IF(J58="Annual",EDATE(K58,12),"On change"))))</f>
        <v/>
      </c>
      <c r="M58" s="8" t="n"/>
      <c r="N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9">
        <f>IF(OR(K59="",J59=""),"",IF(J59="Quarterly",EDATE(K59,3),IF(J59="Semi-annual",EDATE(K59,6),IF(J59="Annual",EDATE(K59,12),"On change"))))</f>
        <v/>
      </c>
      <c r="M59" s="8" t="n"/>
      <c r="N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9">
        <f>IF(OR(K60="",J60=""),"",IF(J60="Quarterly",EDATE(K60,3),IF(J60="Semi-annual",EDATE(K60,6),IF(J60="Annual",EDATE(K60,12),"On change"))))</f>
        <v/>
      </c>
      <c r="M60" s="8" t="n"/>
      <c r="N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9">
        <f>IF(OR(K61="",J61=""),"",IF(J61="Quarterly",EDATE(K61,3),IF(J61="Semi-annual",EDATE(K61,6),IF(J61="Annual",EDATE(K61,12),"On change"))))</f>
        <v/>
      </c>
      <c r="M61" s="8" t="n"/>
      <c r="N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9">
        <f>IF(OR(K62="",J62=""),"",IF(J62="Quarterly",EDATE(K62,3),IF(J62="Semi-annual",EDATE(K62,6),IF(J62="Annual",EDATE(K62,12),"On change"))))</f>
        <v/>
      </c>
      <c r="M62" s="8" t="n"/>
      <c r="N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9">
        <f>IF(OR(K63="",J63=""),"",IF(J63="Quarterly",EDATE(K63,3),IF(J63="Semi-annual",EDATE(K63,6),IF(J63="Annual",EDATE(K63,12),"On change"))))</f>
        <v/>
      </c>
      <c r="M63" s="8" t="n"/>
      <c r="N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9">
        <f>IF(OR(K64="",J64=""),"",IF(J64="Quarterly",EDATE(K64,3),IF(J64="Semi-annual",EDATE(K64,6),IF(J64="Annual",EDATE(K64,12),"On change"))))</f>
        <v/>
      </c>
      <c r="M64" s="8" t="n"/>
      <c r="N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9">
        <f>IF(OR(K65="",J65=""),"",IF(J65="Quarterly",EDATE(K65,3),IF(J65="Semi-annual",EDATE(K65,6),IF(J65="Annual",EDATE(K65,12),"On change"))))</f>
        <v/>
      </c>
      <c r="M65" s="8" t="n"/>
      <c r="N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9">
        <f>IF(OR(K66="",J66=""),"",IF(J66="Quarterly",EDATE(K66,3),IF(J66="Semi-annual",EDATE(K66,6),IF(J66="Annual",EDATE(K66,12),"On change"))))</f>
        <v/>
      </c>
      <c r="M66" s="8" t="n"/>
      <c r="N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9">
        <f>IF(OR(K67="",J67=""),"",IF(J67="Quarterly",EDATE(K67,3),IF(J67="Semi-annual",EDATE(K67,6),IF(J67="Annual",EDATE(K67,12),"On change"))))</f>
        <v/>
      </c>
      <c r="M67" s="8" t="n"/>
      <c r="N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9">
        <f>IF(OR(K68="",J68=""),"",IF(J68="Quarterly",EDATE(K68,3),IF(J68="Semi-annual",EDATE(K68,6),IF(J68="Annual",EDATE(K68,12),"On change"))))</f>
        <v/>
      </c>
      <c r="M68" s="8" t="n"/>
      <c r="N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9">
        <f>IF(OR(K69="",J69=""),"",IF(J69="Quarterly",EDATE(K69,3),IF(J69="Semi-annual",EDATE(K69,6),IF(J69="Annual",EDATE(K69,12),"On change"))))</f>
        <v/>
      </c>
      <c r="M69" s="8" t="n"/>
      <c r="N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9">
        <f>IF(OR(K70="",J70=""),"",IF(J70="Quarterly",EDATE(K70,3),IF(J70="Semi-annual",EDATE(K70,6),IF(J70="Annual",EDATE(K70,12),"On change"))))</f>
        <v/>
      </c>
      <c r="M70" s="8" t="n"/>
      <c r="N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9">
        <f>IF(OR(K71="",J71=""),"",IF(J71="Quarterly",EDATE(K71,3),IF(J71="Semi-annual",EDATE(K71,6),IF(J71="Annual",EDATE(K71,12),"On change"))))</f>
        <v/>
      </c>
      <c r="M71" s="8" t="n"/>
      <c r="N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9">
        <f>IF(OR(K72="",J72=""),"",IF(J72="Quarterly",EDATE(K72,3),IF(J72="Semi-annual",EDATE(K72,6),IF(J72="Annual",EDATE(K72,12),"On change"))))</f>
        <v/>
      </c>
      <c r="M72" s="8" t="n"/>
      <c r="N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9">
        <f>IF(OR(K73="",J73=""),"",IF(J73="Quarterly",EDATE(K73,3),IF(J73="Semi-annual",EDATE(K73,6),IF(J73="Annual",EDATE(K73,12),"On change"))))</f>
        <v/>
      </c>
      <c r="M73" s="8" t="n"/>
      <c r="N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9">
        <f>IF(OR(K74="",J74=""),"",IF(J74="Quarterly",EDATE(K74,3),IF(J74="Semi-annual",EDATE(K74,6),IF(J74="Annual",EDATE(K74,12),"On change"))))</f>
        <v/>
      </c>
      <c r="M74" s="8" t="n"/>
      <c r="N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9">
        <f>IF(OR(K75="",J75=""),"",IF(J75="Quarterly",EDATE(K75,3),IF(J75="Semi-annual",EDATE(K75,6),IF(J75="Annual",EDATE(K75,12),"On change"))))</f>
        <v/>
      </c>
      <c r="M75" s="8" t="n"/>
      <c r="N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9">
        <f>IF(OR(K76="",J76=""),"",IF(J76="Quarterly",EDATE(K76,3),IF(J76="Semi-annual",EDATE(K76,6),IF(J76="Annual",EDATE(K76,12),"On change"))))</f>
        <v/>
      </c>
      <c r="M76" s="8" t="n"/>
      <c r="N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9">
        <f>IF(OR(K77="",J77=""),"",IF(J77="Quarterly",EDATE(K77,3),IF(J77="Semi-annual",EDATE(K77,6),IF(J77="Annual",EDATE(K77,12),"On change"))))</f>
        <v/>
      </c>
      <c r="M77" s="8" t="n"/>
      <c r="N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9">
        <f>IF(OR(K78="",J78=""),"",IF(J78="Quarterly",EDATE(K78,3),IF(J78="Semi-annual",EDATE(K78,6),IF(J78="Annual",EDATE(K78,12),"On change"))))</f>
        <v/>
      </c>
      <c r="M78" s="8" t="n"/>
      <c r="N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9">
        <f>IF(OR(K79="",J79=""),"",IF(J79="Quarterly",EDATE(K79,3),IF(J79="Semi-annual",EDATE(K79,6),IF(J79="Annual",EDATE(K79,12),"On change"))))</f>
        <v/>
      </c>
      <c r="M79" s="8" t="n"/>
      <c r="N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9">
        <f>IF(OR(K80="",J80=""),"",IF(J80="Quarterly",EDATE(K80,3),IF(J80="Semi-annual",EDATE(K80,6),IF(J80="Annual",EDATE(K80,12),"On change"))))</f>
        <v/>
      </c>
      <c r="M80" s="8" t="n"/>
      <c r="N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9">
        <f>IF(OR(K81="",J81=""),"",IF(J81="Quarterly",EDATE(K81,3),IF(J81="Semi-annual",EDATE(K81,6),IF(J81="Annual",EDATE(K81,12),"On change"))))</f>
        <v/>
      </c>
      <c r="M81" s="8" t="n"/>
      <c r="N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9">
        <f>IF(OR(K82="",J82=""),"",IF(J82="Quarterly",EDATE(K82,3),IF(J82="Semi-annual",EDATE(K82,6),IF(J82="Annual",EDATE(K82,12),"On change"))))</f>
        <v/>
      </c>
      <c r="M82" s="8" t="n"/>
      <c r="N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9">
        <f>IF(OR(K83="",J83=""),"",IF(J83="Quarterly",EDATE(K83,3),IF(J83="Semi-annual",EDATE(K83,6),IF(J83="Annual",EDATE(K83,12),"On change"))))</f>
        <v/>
      </c>
      <c r="M83" s="8" t="n"/>
      <c r="N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9">
        <f>IF(OR(K84="",J84=""),"",IF(J84="Quarterly",EDATE(K84,3),IF(J84="Semi-annual",EDATE(K84,6),IF(J84="Annual",EDATE(K84,12),"On change"))))</f>
        <v/>
      </c>
      <c r="M84" s="8" t="n"/>
      <c r="N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9">
        <f>IF(OR(K85="",J85=""),"",IF(J85="Quarterly",EDATE(K85,3),IF(J85="Semi-annual",EDATE(K85,6),IF(J85="Annual",EDATE(K85,12),"On change"))))</f>
        <v/>
      </c>
      <c r="M85" s="8" t="n"/>
      <c r="N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9">
        <f>IF(OR(K86="",J86=""),"",IF(J86="Quarterly",EDATE(K86,3),IF(J86="Semi-annual",EDATE(K86,6),IF(J86="Annual",EDATE(K86,12),"On change"))))</f>
        <v/>
      </c>
      <c r="M86" s="8" t="n"/>
      <c r="N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9">
        <f>IF(OR(K87="",J87=""),"",IF(J87="Quarterly",EDATE(K87,3),IF(J87="Semi-annual",EDATE(K87,6),IF(J87="Annual",EDATE(K87,12),"On change"))))</f>
        <v/>
      </c>
      <c r="M87" s="8" t="n"/>
      <c r="N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9">
        <f>IF(OR(K88="",J88=""),"",IF(J88="Quarterly",EDATE(K88,3),IF(J88="Semi-annual",EDATE(K88,6),IF(J88="Annual",EDATE(K88,12),"On change"))))</f>
        <v/>
      </c>
      <c r="M88" s="8" t="n"/>
      <c r="N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9">
        <f>IF(OR(K89="",J89=""),"",IF(J89="Quarterly",EDATE(K89,3),IF(J89="Semi-annual",EDATE(K89,6),IF(J89="Annual",EDATE(K89,12),"On change"))))</f>
        <v/>
      </c>
      <c r="M89" s="8" t="n"/>
      <c r="N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9">
        <f>IF(OR(K90="",J90=""),"",IF(J90="Quarterly",EDATE(K90,3),IF(J90="Semi-annual",EDATE(K90,6),IF(J90="Annual",EDATE(K90,12),"On change"))))</f>
        <v/>
      </c>
      <c r="M90" s="8" t="n"/>
      <c r="N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9">
        <f>IF(OR(K91="",J91=""),"",IF(J91="Quarterly",EDATE(K91,3),IF(J91="Semi-annual",EDATE(K91,6),IF(J91="Annual",EDATE(K91,12),"On change"))))</f>
        <v/>
      </c>
      <c r="M91" s="8" t="n"/>
      <c r="N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9">
        <f>IF(OR(K92="",J92=""),"",IF(J92="Quarterly",EDATE(K92,3),IF(J92="Semi-annual",EDATE(K92,6),IF(J92="Annual",EDATE(K92,12),"On change"))))</f>
        <v/>
      </c>
      <c r="M92" s="8" t="n"/>
      <c r="N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9">
        <f>IF(OR(K93="",J93=""),"",IF(J93="Quarterly",EDATE(K93,3),IF(J93="Semi-annual",EDATE(K93,6),IF(J93="Annual",EDATE(K93,12),"On change"))))</f>
        <v/>
      </c>
      <c r="M93" s="8" t="n"/>
      <c r="N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9">
        <f>IF(OR(K94="",J94=""),"",IF(J94="Quarterly",EDATE(K94,3),IF(J94="Semi-annual",EDATE(K94,6),IF(J94="Annual",EDATE(K94,12),"On change"))))</f>
        <v/>
      </c>
      <c r="M94" s="8" t="n"/>
      <c r="N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9">
        <f>IF(OR(K95="",J95=""),"",IF(J95="Quarterly",EDATE(K95,3),IF(J95="Semi-annual",EDATE(K95,6),IF(J95="Annual",EDATE(K95,12),"On change"))))</f>
        <v/>
      </c>
      <c r="M95" s="8" t="n"/>
      <c r="N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9">
        <f>IF(OR(K96="",J96=""),"",IF(J96="Quarterly",EDATE(K96,3),IF(J96="Semi-annual",EDATE(K96,6),IF(J96="Annual",EDATE(K96,12),"On change"))))</f>
        <v/>
      </c>
      <c r="M96" s="8" t="n"/>
      <c r="N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9">
        <f>IF(OR(K97="",J97=""),"",IF(J97="Quarterly",EDATE(K97,3),IF(J97="Semi-annual",EDATE(K97,6),IF(J97="Annual",EDATE(K97,12),"On change"))))</f>
        <v/>
      </c>
      <c r="M97" s="8" t="n"/>
      <c r="N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9">
        <f>IF(OR(K98="",J98=""),"",IF(J98="Quarterly",EDATE(K98,3),IF(J98="Semi-annual",EDATE(K98,6),IF(J98="Annual",EDATE(K98,12),"On change"))))</f>
        <v/>
      </c>
      <c r="M98" s="8" t="n"/>
      <c r="N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9">
        <f>IF(OR(K99="",J99=""),"",IF(J99="Quarterly",EDATE(K99,3),IF(J99="Semi-annual",EDATE(K99,6),IF(J99="Annual",EDATE(K99,12),"On change"))))</f>
        <v/>
      </c>
      <c r="M99" s="8" t="n"/>
      <c r="N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9">
        <f>IF(OR(K100="",J100=""),"",IF(J100="Quarterly",EDATE(K100,3),IF(J100="Semi-annual",EDATE(K100,6),IF(J100="Annual",EDATE(K100,12),"On change"))))</f>
        <v/>
      </c>
      <c r="M100" s="8" t="n"/>
      <c r="N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9">
        <f>IF(OR(K101="",J101=""),"",IF(J101="Quarterly",EDATE(K101,3),IF(J101="Semi-annual",EDATE(K101,6),IF(J101="Annual",EDATE(K101,12),"On change"))))</f>
        <v/>
      </c>
      <c r="M101" s="8" t="n"/>
      <c r="N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9">
        <f>IF(OR(K102="",J102=""),"",IF(J102="Quarterly",EDATE(K102,3),IF(J102="Semi-annual",EDATE(K102,6),IF(J102="Annual",EDATE(K102,12),"On change"))))</f>
        <v/>
      </c>
      <c r="M102" s="8" t="n"/>
      <c r="N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9">
        <f>IF(OR(K103="",J103=""),"",IF(J103="Quarterly",EDATE(K103,3),IF(J103="Semi-annual",EDATE(K103,6),IF(J103="Annual",EDATE(K103,12),"On change"))))</f>
        <v/>
      </c>
      <c r="M103" s="8" t="n"/>
      <c r="N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9">
        <f>IF(OR(K104="",J104=""),"",IF(J104="Quarterly",EDATE(K104,3),IF(J104="Semi-annual",EDATE(K104,6),IF(J104="Annual",EDATE(K104,12),"On change"))))</f>
        <v/>
      </c>
      <c r="M104" s="8" t="n"/>
      <c r="N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9">
        <f>IF(OR(K105="",J105=""),"",IF(J105="Quarterly",EDATE(K105,3),IF(J105="Semi-annual",EDATE(K105,6),IF(J105="Annual",EDATE(K105,12),"On change"))))</f>
        <v/>
      </c>
      <c r="M105" s="8" t="n"/>
      <c r="N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9">
        <f>IF(OR(K106="",J106=""),"",IF(J106="Quarterly",EDATE(K106,3),IF(J106="Semi-annual",EDATE(K106,6),IF(J106="Annual",EDATE(K106,12),"On change"))))</f>
        <v/>
      </c>
      <c r="M106" s="8" t="n"/>
      <c r="N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9">
        <f>IF(OR(K107="",J107=""),"",IF(J107="Quarterly",EDATE(K107,3),IF(J107="Semi-annual",EDATE(K107,6),IF(J107="Annual",EDATE(K107,12),"On change"))))</f>
        <v/>
      </c>
      <c r="M107" s="8" t="n"/>
      <c r="N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9">
        <f>IF(OR(K108="",J108=""),"",IF(J108="Quarterly",EDATE(K108,3),IF(J108="Semi-annual",EDATE(K108,6),IF(J108="Annual",EDATE(K108,12),"On change"))))</f>
        <v/>
      </c>
      <c r="M108" s="8" t="n"/>
      <c r="N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9">
        <f>IF(OR(K109="",J109=""),"",IF(J109="Quarterly",EDATE(K109,3),IF(J109="Semi-annual",EDATE(K109,6),IF(J109="Annual",EDATE(K109,12),"On change"))))</f>
        <v/>
      </c>
      <c r="M109" s="8" t="n"/>
      <c r="N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9">
        <f>IF(OR(K110="",J110=""),"",IF(J110="Quarterly",EDATE(K110,3),IF(J110="Semi-annual",EDATE(K110,6),IF(J110="Annual",EDATE(K110,12),"On change"))))</f>
        <v/>
      </c>
      <c r="M110" s="8" t="n"/>
      <c r="N110" s="8" t="n"/>
    </row>
  </sheetData>
  <mergeCells count="3">
    <mergeCell ref="A9:N9"/>
    <mergeCell ref="A8:N8"/>
    <mergeCell ref="A2:N2"/>
  </mergeCells>
  <dataValidations count="4">
    <dataValidation sqref="E11:E110" showDropDown="0" showInputMessage="0" showErrorMessage="0" allowBlank="1" errorTitle="Invalid entry" error="Choose a value from the list." type="list">
      <formula1>"Controller,Processor,Both,N/A"</formula1>
    </dataValidation>
    <dataValidation sqref="I11:I110" showDropDown="0" showInputMessage="0" showErrorMessage="0" allowBlank="1" errorTitle="Invalid entry" error="Choose a value from the list." type="list">
      <formula1>"Compliant,Partial,Gap,Not assessed"</formula1>
    </dataValidation>
    <dataValidation sqref="J11:J110" showDropDown="0" showInputMessage="0" showErrorMessage="0" allowBlank="1" errorTitle="Invalid entry" error="Choose a value from the list." type="list">
      <formula1>"Quarterly,Semi-annual,Annual,On change"</formula1>
    </dataValidation>
    <dataValidation sqref="K11:K110" showDropDown="0" showInputMessage="0" showErrorMessage="0" allowBlank="1" errorTitle="Invalid entry" error="Enter a date." type="date" operator="greaterThan">
      <formula1>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2026-10-25T21:29:49Z</dcterms:created>
  <dcterms:modified xmlns:dcterms="http://purl.org/dc/terms/" xmlns:xsi="http://www.w3.org/2001/XMLSchema-instance" xsi:type="dcterms:W3CDTF">2026-10-25T21:29:49Z</dcterms:modified>
</cp:coreProperties>
</file>