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risk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2AiRiskRegisterTable" displayName="AiReg02AiRiskRegisterTable" ref="A10:O110" headerRowCount="1">
  <autoFilter ref="A10:O110"/>
  <tableColumns count="15">
    <tableColumn id="1" name="Risk ID"/>
    <tableColumn id="2" name="AI system"/>
    <tableColumn id="3" name="Risk scenario"/>
    <tableColumn id="4" name="Impact on people"/>
    <tableColumn id="5" name="Likelihood"/>
    <tableColumn id="6" name="Impact"/>
    <tableColumn id="7" name="Score"/>
    <tableColumn id="8" name="Band"/>
    <tableColumn id="9" name="Controls"/>
    <tableColumn id="10" name="Treatment"/>
    <tableColumn id="11" name="Owner (role)"/>
    <tableColumn id="12" name="Due date"/>
    <tableColumn id="13" name="Residual score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6" customWidth="1" min="4" max="4"/>
    <col width="12" customWidth="1" min="5" max="5"/>
    <col width="12" customWidth="1" min="6" max="6"/>
    <col width="10" customWidth="1" min="7" max="7"/>
    <col width="12" customWidth="1" min="8" max="8"/>
    <col width="26" customWidth="1" min="9" max="9"/>
    <col width="16" customWidth="1" min="10" max="10"/>
    <col width="18" customWidth="1" min="11" max="11"/>
    <col width="14" customWidth="1" min="12" max="12"/>
    <col width="12" customWidth="1" min="13" max="13"/>
    <col width="14" customWidth="1" min="14" max="14"/>
    <col width="26" customWidth="1" min="15" max="15"/>
  </cols>
  <sheetData>
    <row r="2">
      <c r="A2" s="1" t="inlineStr">
        <is>
          <t>AI risk register</t>
        </is>
      </c>
    </row>
    <row r="3">
      <c r="A3" s="2" t="inlineStr">
        <is>
          <t>AI-REG-02. 100 prepared rows. Keep completed copies in your organisation's approved storage; do not publish filled registers.</t>
        </is>
      </c>
    </row>
    <row r="4">
      <c r="A4" s="2" t="inlineStr">
        <is>
          <t>Serves: ISO/IEC 42001 clause 6.1.2; NIST AI RMF MEASURE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AI risk, scored the same way as the information security risk register but with an explicit view of the impact on people. Fed by AI-PRO-01 and reviewed on the same cycle as the AI system inventory.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Risk ID</t>
        </is>
      </c>
      <c r="B10" s="7" t="inlineStr">
        <is>
          <t>AI system</t>
        </is>
      </c>
      <c r="C10" s="7" t="inlineStr">
        <is>
          <t>Risk scenario</t>
        </is>
      </c>
      <c r="D10" s="7" t="inlineStr">
        <is>
          <t>Impact on people</t>
        </is>
      </c>
      <c r="E10" s="7" t="inlineStr">
        <is>
          <t>Likelihood</t>
        </is>
      </c>
      <c r="F10" s="7" t="inlineStr">
        <is>
          <t>Impact</t>
        </is>
      </c>
      <c r="G10" s="7" t="inlineStr">
        <is>
          <t>Score</t>
        </is>
      </c>
      <c r="H10" s="7" t="inlineStr">
        <is>
          <t>Band</t>
        </is>
      </c>
      <c r="I10" s="7" t="inlineStr">
        <is>
          <t>Controls</t>
        </is>
      </c>
      <c r="J10" s="7" t="inlineStr">
        <is>
          <t>Treatment</t>
        </is>
      </c>
      <c r="K10" s="7" t="inlineStr">
        <is>
          <t>Owner (role)</t>
        </is>
      </c>
      <c r="L10" s="7" t="inlineStr">
        <is>
          <t>Due date</t>
        </is>
      </c>
      <c r="M10" s="7" t="inlineStr">
        <is>
          <t>Residual score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9">
        <f>IF(OR(E11="",F11=""),"",E11*F11)</f>
        <v/>
      </c>
      <c r="H11" s="10">
        <f>IF(G11="","",IF(G11&gt;=16,"Critical",IF(G11&gt;=10,"High",IF(G11&gt;=5,"Medium","Low"))))</f>
        <v/>
      </c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9">
        <f>IF(OR(E12="",F12=""),"",E12*F12)</f>
        <v/>
      </c>
      <c r="H12" s="10">
        <f>IF(G12="","",IF(G12&gt;=16,"Critical",IF(G12&gt;=10,"High",IF(G12&gt;=5,"Medium","Low"))))</f>
        <v/>
      </c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9">
        <f>IF(OR(E13="",F13=""),"",E13*F13)</f>
        <v/>
      </c>
      <c r="H13" s="10">
        <f>IF(G13="","",IF(G13&gt;=16,"Critical",IF(G13&gt;=10,"High",IF(G13&gt;=5,"Medium","Low"))))</f>
        <v/>
      </c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9">
        <f>IF(OR(E14="",F14=""),"",E14*F14)</f>
        <v/>
      </c>
      <c r="H14" s="10">
        <f>IF(G14="","",IF(G14&gt;=16,"Critical",IF(G14&gt;=10,"High",IF(G14&gt;=5,"Medium","Low"))))</f>
        <v/>
      </c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9">
        <f>IF(OR(E15="",F15=""),"",E15*F15)</f>
        <v/>
      </c>
      <c r="H15" s="10">
        <f>IF(G15="","",IF(G15&gt;=16,"Critical",IF(G15&gt;=10,"High",IF(G15&gt;=5,"Medium","Low"))))</f>
        <v/>
      </c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9">
        <f>IF(OR(E16="",F16=""),"",E16*F16)</f>
        <v/>
      </c>
      <c r="H16" s="10">
        <f>IF(G16="","",IF(G16&gt;=16,"Critical",IF(G16&gt;=10,"High",IF(G16&gt;=5,"Medium","Low"))))</f>
        <v/>
      </c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9">
        <f>IF(OR(E17="",F17=""),"",E17*F17)</f>
        <v/>
      </c>
      <c r="H17" s="10">
        <f>IF(G17="","",IF(G17&gt;=16,"Critical",IF(G17&gt;=10,"High",IF(G17&gt;=5,"Medium","Low"))))</f>
        <v/>
      </c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9">
        <f>IF(OR(E18="",F18=""),"",E18*F18)</f>
        <v/>
      </c>
      <c r="H18" s="10">
        <f>IF(G18="","",IF(G18&gt;=16,"Critical",IF(G18&gt;=10,"High",IF(G18&gt;=5,"Medium","Low"))))</f>
        <v/>
      </c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9">
        <f>IF(OR(E19="",F19=""),"",E19*F19)</f>
        <v/>
      </c>
      <c r="H19" s="10">
        <f>IF(G19="","",IF(G19&gt;=16,"Critical",IF(G19&gt;=10,"High",IF(G19&gt;=5,"Medium","Low"))))</f>
        <v/>
      </c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9">
        <f>IF(OR(E20="",F20=""),"",E20*F20)</f>
        <v/>
      </c>
      <c r="H20" s="10">
        <f>IF(G20="","",IF(G20&gt;=16,"Critical",IF(G20&gt;=10,"High",IF(G20&gt;=5,"Medium","Low"))))</f>
        <v/>
      </c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9">
        <f>IF(OR(E21="",F21=""),"",E21*F21)</f>
        <v/>
      </c>
      <c r="H21" s="10">
        <f>IF(G21="","",IF(G21&gt;=16,"Critical",IF(G21&gt;=10,"High",IF(G21&gt;=5,"Medium","Low"))))</f>
        <v/>
      </c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9">
        <f>IF(OR(E22="",F22=""),"",E22*F22)</f>
        <v/>
      </c>
      <c r="H22" s="10">
        <f>IF(G22="","",IF(G22&gt;=16,"Critical",IF(G22&gt;=10,"High",IF(G22&gt;=5,"Medium","Low"))))</f>
        <v/>
      </c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9">
        <f>IF(OR(E23="",F23=""),"",E23*F23)</f>
        <v/>
      </c>
      <c r="H23" s="10">
        <f>IF(G23="","",IF(G23&gt;=16,"Critical",IF(G23&gt;=10,"High",IF(G23&gt;=5,"Medium","Low"))))</f>
        <v/>
      </c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9">
        <f>IF(OR(E24="",F24=""),"",E24*F24)</f>
        <v/>
      </c>
      <c r="H24" s="10">
        <f>IF(G24="","",IF(G24&gt;=16,"Critical",IF(G24&gt;=10,"High",IF(G24&gt;=5,"Medium","Low"))))</f>
        <v/>
      </c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9">
        <f>IF(OR(E25="",F25=""),"",E25*F25)</f>
        <v/>
      </c>
      <c r="H25" s="10">
        <f>IF(G25="","",IF(G25&gt;=16,"Critical",IF(G25&gt;=10,"High",IF(G25&gt;=5,"Medium","Low"))))</f>
        <v/>
      </c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9">
        <f>IF(OR(E26="",F26=""),"",E26*F26)</f>
        <v/>
      </c>
      <c r="H26" s="10">
        <f>IF(G26="","",IF(G26&gt;=16,"Critical",IF(G26&gt;=10,"High",IF(G26&gt;=5,"Medium","Low"))))</f>
        <v/>
      </c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9">
        <f>IF(OR(E27="",F27=""),"",E27*F27)</f>
        <v/>
      </c>
      <c r="H27" s="10">
        <f>IF(G27="","",IF(G27&gt;=16,"Critical",IF(G27&gt;=10,"High",IF(G27&gt;=5,"Medium","Low"))))</f>
        <v/>
      </c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9">
        <f>IF(OR(E28="",F28=""),"",E28*F28)</f>
        <v/>
      </c>
      <c r="H28" s="10">
        <f>IF(G28="","",IF(G28&gt;=16,"Critical",IF(G28&gt;=10,"High",IF(G28&gt;=5,"Medium","Low"))))</f>
        <v/>
      </c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9">
        <f>IF(OR(E29="",F29=""),"",E29*F29)</f>
        <v/>
      </c>
      <c r="H29" s="10">
        <f>IF(G29="","",IF(G29&gt;=16,"Critical",IF(G29&gt;=10,"High",IF(G29&gt;=5,"Medium","Low"))))</f>
        <v/>
      </c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9">
        <f>IF(OR(E30="",F30=""),"",E30*F30)</f>
        <v/>
      </c>
      <c r="H30" s="10">
        <f>IF(G30="","",IF(G30&gt;=16,"Critical",IF(G30&gt;=10,"High",IF(G30&gt;=5,"Medium","Low"))))</f>
        <v/>
      </c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9">
        <f>IF(OR(E31="",F31=""),"",E31*F31)</f>
        <v/>
      </c>
      <c r="H31" s="10">
        <f>IF(G31="","",IF(G31&gt;=16,"Critical",IF(G31&gt;=10,"High",IF(G31&gt;=5,"Medium","Low"))))</f>
        <v/>
      </c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9">
        <f>IF(OR(E32="",F32=""),"",E32*F32)</f>
        <v/>
      </c>
      <c r="H32" s="10">
        <f>IF(G32="","",IF(G32&gt;=16,"Critical",IF(G32&gt;=10,"High",IF(G32&gt;=5,"Medium","Low"))))</f>
        <v/>
      </c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9">
        <f>IF(OR(E33="",F33=""),"",E33*F33)</f>
        <v/>
      </c>
      <c r="H33" s="10">
        <f>IF(G33="","",IF(G33&gt;=16,"Critical",IF(G33&gt;=10,"High",IF(G33&gt;=5,"Medium","Low"))))</f>
        <v/>
      </c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9">
        <f>IF(OR(E34="",F34=""),"",E34*F34)</f>
        <v/>
      </c>
      <c r="H34" s="10">
        <f>IF(G34="","",IF(G34&gt;=16,"Critical",IF(G34&gt;=10,"High",IF(G34&gt;=5,"Medium","Low"))))</f>
        <v/>
      </c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9">
        <f>IF(OR(E35="",F35=""),"",E35*F35)</f>
        <v/>
      </c>
      <c r="H35" s="10">
        <f>IF(G35="","",IF(G35&gt;=16,"Critical",IF(G35&gt;=10,"High",IF(G35&gt;=5,"Medium","Low"))))</f>
        <v/>
      </c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9">
        <f>IF(OR(E36="",F36=""),"",E36*F36)</f>
        <v/>
      </c>
      <c r="H36" s="10">
        <f>IF(G36="","",IF(G36&gt;=16,"Critical",IF(G36&gt;=10,"High",IF(G36&gt;=5,"Medium","Low"))))</f>
        <v/>
      </c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9">
        <f>IF(OR(E37="",F37=""),"",E37*F37)</f>
        <v/>
      </c>
      <c r="H37" s="10">
        <f>IF(G37="","",IF(G37&gt;=16,"Critical",IF(G37&gt;=10,"High",IF(G37&gt;=5,"Medium","Low"))))</f>
        <v/>
      </c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9">
        <f>IF(OR(E38="",F38=""),"",E38*F38)</f>
        <v/>
      </c>
      <c r="H38" s="10">
        <f>IF(G38="","",IF(G38&gt;=16,"Critical",IF(G38&gt;=10,"High",IF(G38&gt;=5,"Medium","Low"))))</f>
        <v/>
      </c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9">
        <f>IF(OR(E39="",F39=""),"",E39*F39)</f>
        <v/>
      </c>
      <c r="H39" s="10">
        <f>IF(G39="","",IF(G39&gt;=16,"Critical",IF(G39&gt;=10,"High",IF(G39&gt;=5,"Medium","Low"))))</f>
        <v/>
      </c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9">
        <f>IF(OR(E40="",F40=""),"",E40*F40)</f>
        <v/>
      </c>
      <c r="H40" s="10">
        <f>IF(G40="","",IF(G40&gt;=16,"Critical",IF(G40&gt;=10,"High",IF(G40&gt;=5,"Medium","Low"))))</f>
        <v/>
      </c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9">
        <f>IF(OR(E41="",F41=""),"",E41*F41)</f>
        <v/>
      </c>
      <c r="H41" s="10">
        <f>IF(G41="","",IF(G41&gt;=16,"Critical",IF(G41&gt;=10,"High",IF(G41&gt;=5,"Medium","Low"))))</f>
        <v/>
      </c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9">
        <f>IF(OR(E42="",F42=""),"",E42*F42)</f>
        <v/>
      </c>
      <c r="H42" s="10">
        <f>IF(G42="","",IF(G42&gt;=16,"Critical",IF(G42&gt;=10,"High",IF(G42&gt;=5,"Medium","Low"))))</f>
        <v/>
      </c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9">
        <f>IF(OR(E43="",F43=""),"",E43*F43)</f>
        <v/>
      </c>
      <c r="H43" s="10">
        <f>IF(G43="","",IF(G43&gt;=16,"Critical",IF(G43&gt;=10,"High",IF(G43&gt;=5,"Medium","Low"))))</f>
        <v/>
      </c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9">
        <f>IF(OR(E44="",F44=""),"",E44*F44)</f>
        <v/>
      </c>
      <c r="H44" s="10">
        <f>IF(G44="","",IF(G44&gt;=16,"Critical",IF(G44&gt;=10,"High",IF(G44&gt;=5,"Medium","Low"))))</f>
        <v/>
      </c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9">
        <f>IF(OR(E45="",F45=""),"",E45*F45)</f>
        <v/>
      </c>
      <c r="H45" s="10">
        <f>IF(G45="","",IF(G45&gt;=16,"Critical",IF(G45&gt;=10,"High",IF(G45&gt;=5,"Medium","Low"))))</f>
        <v/>
      </c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9">
        <f>IF(OR(E46="",F46=""),"",E46*F46)</f>
        <v/>
      </c>
      <c r="H46" s="10">
        <f>IF(G46="","",IF(G46&gt;=16,"Critical",IF(G46&gt;=10,"High",IF(G46&gt;=5,"Medium","Low"))))</f>
        <v/>
      </c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9">
        <f>IF(OR(E47="",F47=""),"",E47*F47)</f>
        <v/>
      </c>
      <c r="H47" s="10">
        <f>IF(G47="","",IF(G47&gt;=16,"Critical",IF(G47&gt;=10,"High",IF(G47&gt;=5,"Medium","Low"))))</f>
        <v/>
      </c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9">
        <f>IF(OR(E48="",F48=""),"",E48*F48)</f>
        <v/>
      </c>
      <c r="H48" s="10">
        <f>IF(G48="","",IF(G48&gt;=16,"Critical",IF(G48&gt;=10,"High",IF(G48&gt;=5,"Medium","Low"))))</f>
        <v/>
      </c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9">
        <f>IF(OR(E49="",F49=""),"",E49*F49)</f>
        <v/>
      </c>
      <c r="H49" s="10">
        <f>IF(G49="","",IF(G49&gt;=16,"Critical",IF(G49&gt;=10,"High",IF(G49&gt;=5,"Medium","Low"))))</f>
        <v/>
      </c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9">
        <f>IF(OR(E50="",F50=""),"",E50*F50)</f>
        <v/>
      </c>
      <c r="H50" s="10">
        <f>IF(G50="","",IF(G50&gt;=16,"Critical",IF(G50&gt;=10,"High",IF(G50&gt;=5,"Medium","Low"))))</f>
        <v/>
      </c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9">
        <f>IF(OR(E51="",F51=""),"",E51*F51)</f>
        <v/>
      </c>
      <c r="H51" s="10">
        <f>IF(G51="","",IF(G51&gt;=16,"Critical",IF(G51&gt;=10,"High",IF(G51&gt;=5,"Medium","Low"))))</f>
        <v/>
      </c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9">
        <f>IF(OR(E52="",F52=""),"",E52*F52)</f>
        <v/>
      </c>
      <c r="H52" s="10">
        <f>IF(G52="","",IF(G52&gt;=16,"Critical",IF(G52&gt;=10,"High",IF(G52&gt;=5,"Medium","Low"))))</f>
        <v/>
      </c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9">
        <f>IF(OR(E53="",F53=""),"",E53*F53)</f>
        <v/>
      </c>
      <c r="H53" s="10">
        <f>IF(G53="","",IF(G53&gt;=16,"Critical",IF(G53&gt;=10,"High",IF(G53&gt;=5,"Medium","Low"))))</f>
        <v/>
      </c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9">
        <f>IF(OR(E54="",F54=""),"",E54*F54)</f>
        <v/>
      </c>
      <c r="H54" s="10">
        <f>IF(G54="","",IF(G54&gt;=16,"Critical",IF(G54&gt;=10,"High",IF(G54&gt;=5,"Medium","Low"))))</f>
        <v/>
      </c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9">
        <f>IF(OR(E55="",F55=""),"",E55*F55)</f>
        <v/>
      </c>
      <c r="H55" s="10">
        <f>IF(G55="","",IF(G55&gt;=16,"Critical",IF(G55&gt;=10,"High",IF(G55&gt;=5,"Medium","Low"))))</f>
        <v/>
      </c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9">
        <f>IF(OR(E56="",F56=""),"",E56*F56)</f>
        <v/>
      </c>
      <c r="H56" s="10">
        <f>IF(G56="","",IF(G56&gt;=16,"Critical",IF(G56&gt;=10,"High",IF(G56&gt;=5,"Medium","Low"))))</f>
        <v/>
      </c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9">
        <f>IF(OR(E57="",F57=""),"",E57*F57)</f>
        <v/>
      </c>
      <c r="H57" s="10">
        <f>IF(G57="","",IF(G57&gt;=16,"Critical",IF(G57&gt;=10,"High",IF(G57&gt;=5,"Medium","Low"))))</f>
        <v/>
      </c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9">
        <f>IF(OR(E58="",F58=""),"",E58*F58)</f>
        <v/>
      </c>
      <c r="H58" s="10">
        <f>IF(G58="","",IF(G58&gt;=16,"Critical",IF(G58&gt;=10,"High",IF(G58&gt;=5,"Medium","Low"))))</f>
        <v/>
      </c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9">
        <f>IF(OR(E59="",F59=""),"",E59*F59)</f>
        <v/>
      </c>
      <c r="H59" s="10">
        <f>IF(G59="","",IF(G59&gt;=16,"Critical",IF(G59&gt;=10,"High",IF(G59&gt;=5,"Medium","Low"))))</f>
        <v/>
      </c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9">
        <f>IF(OR(E60="",F60=""),"",E60*F60)</f>
        <v/>
      </c>
      <c r="H60" s="10">
        <f>IF(G60="","",IF(G60&gt;=16,"Critical",IF(G60&gt;=10,"High",IF(G60&gt;=5,"Medium","Low"))))</f>
        <v/>
      </c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9">
        <f>IF(OR(E61="",F61=""),"",E61*F61)</f>
        <v/>
      </c>
      <c r="H61" s="10">
        <f>IF(G61="","",IF(G61&gt;=16,"Critical",IF(G61&gt;=10,"High",IF(G61&gt;=5,"Medium","Low"))))</f>
        <v/>
      </c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9">
        <f>IF(OR(E62="",F62=""),"",E62*F62)</f>
        <v/>
      </c>
      <c r="H62" s="10">
        <f>IF(G62="","",IF(G62&gt;=16,"Critical",IF(G62&gt;=10,"High",IF(G62&gt;=5,"Medium","Low"))))</f>
        <v/>
      </c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9">
        <f>IF(OR(E63="",F63=""),"",E63*F63)</f>
        <v/>
      </c>
      <c r="H63" s="10">
        <f>IF(G63="","",IF(G63&gt;=16,"Critical",IF(G63&gt;=10,"High",IF(G63&gt;=5,"Medium","Low"))))</f>
        <v/>
      </c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9">
        <f>IF(OR(E64="",F64=""),"",E64*F64)</f>
        <v/>
      </c>
      <c r="H64" s="10">
        <f>IF(G64="","",IF(G64&gt;=16,"Critical",IF(G64&gt;=10,"High",IF(G64&gt;=5,"Medium","Low"))))</f>
        <v/>
      </c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9">
        <f>IF(OR(E65="",F65=""),"",E65*F65)</f>
        <v/>
      </c>
      <c r="H65" s="10">
        <f>IF(G65="","",IF(G65&gt;=16,"Critical",IF(G65&gt;=10,"High",IF(G65&gt;=5,"Medium","Low"))))</f>
        <v/>
      </c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9">
        <f>IF(OR(E66="",F66=""),"",E66*F66)</f>
        <v/>
      </c>
      <c r="H66" s="10">
        <f>IF(G66="","",IF(G66&gt;=16,"Critical",IF(G66&gt;=10,"High",IF(G66&gt;=5,"Medium","Low"))))</f>
        <v/>
      </c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9">
        <f>IF(OR(E67="",F67=""),"",E67*F67)</f>
        <v/>
      </c>
      <c r="H67" s="10">
        <f>IF(G67="","",IF(G67&gt;=16,"Critical",IF(G67&gt;=10,"High",IF(G67&gt;=5,"Medium","Low"))))</f>
        <v/>
      </c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9">
        <f>IF(OR(E68="",F68=""),"",E68*F68)</f>
        <v/>
      </c>
      <c r="H68" s="10">
        <f>IF(G68="","",IF(G68&gt;=16,"Critical",IF(G68&gt;=10,"High",IF(G68&gt;=5,"Medium","Low"))))</f>
        <v/>
      </c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9">
        <f>IF(OR(E69="",F69=""),"",E69*F69)</f>
        <v/>
      </c>
      <c r="H69" s="10">
        <f>IF(G69="","",IF(G69&gt;=16,"Critical",IF(G69&gt;=10,"High",IF(G69&gt;=5,"Medium","Low"))))</f>
        <v/>
      </c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9">
        <f>IF(OR(E70="",F70=""),"",E70*F70)</f>
        <v/>
      </c>
      <c r="H70" s="10">
        <f>IF(G70="","",IF(G70&gt;=16,"Critical",IF(G70&gt;=10,"High",IF(G70&gt;=5,"Medium","Low"))))</f>
        <v/>
      </c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9">
        <f>IF(OR(E71="",F71=""),"",E71*F71)</f>
        <v/>
      </c>
      <c r="H71" s="10">
        <f>IF(G71="","",IF(G71&gt;=16,"Critical",IF(G71&gt;=10,"High",IF(G71&gt;=5,"Medium","Low"))))</f>
        <v/>
      </c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9">
        <f>IF(OR(E72="",F72=""),"",E72*F72)</f>
        <v/>
      </c>
      <c r="H72" s="10">
        <f>IF(G72="","",IF(G72&gt;=16,"Critical",IF(G72&gt;=10,"High",IF(G72&gt;=5,"Medium","Low"))))</f>
        <v/>
      </c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9">
        <f>IF(OR(E73="",F73=""),"",E73*F73)</f>
        <v/>
      </c>
      <c r="H73" s="10">
        <f>IF(G73="","",IF(G73&gt;=16,"Critical",IF(G73&gt;=10,"High",IF(G73&gt;=5,"Medium","Low"))))</f>
        <v/>
      </c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9">
        <f>IF(OR(E74="",F74=""),"",E74*F74)</f>
        <v/>
      </c>
      <c r="H74" s="10">
        <f>IF(G74="","",IF(G74&gt;=16,"Critical",IF(G74&gt;=10,"High",IF(G74&gt;=5,"Medium","Low"))))</f>
        <v/>
      </c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9">
        <f>IF(OR(E75="",F75=""),"",E75*F75)</f>
        <v/>
      </c>
      <c r="H75" s="10">
        <f>IF(G75="","",IF(G75&gt;=16,"Critical",IF(G75&gt;=10,"High",IF(G75&gt;=5,"Medium","Low"))))</f>
        <v/>
      </c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9">
        <f>IF(OR(E76="",F76=""),"",E76*F76)</f>
        <v/>
      </c>
      <c r="H76" s="10">
        <f>IF(G76="","",IF(G76&gt;=16,"Critical",IF(G76&gt;=10,"High",IF(G76&gt;=5,"Medium","Low"))))</f>
        <v/>
      </c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9">
        <f>IF(OR(E77="",F77=""),"",E77*F77)</f>
        <v/>
      </c>
      <c r="H77" s="10">
        <f>IF(G77="","",IF(G77&gt;=16,"Critical",IF(G77&gt;=10,"High",IF(G77&gt;=5,"Medium","Low"))))</f>
        <v/>
      </c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9">
        <f>IF(OR(E78="",F78=""),"",E78*F78)</f>
        <v/>
      </c>
      <c r="H78" s="10">
        <f>IF(G78="","",IF(G78&gt;=16,"Critical",IF(G78&gt;=10,"High",IF(G78&gt;=5,"Medium","Low"))))</f>
        <v/>
      </c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9">
        <f>IF(OR(E79="",F79=""),"",E79*F79)</f>
        <v/>
      </c>
      <c r="H79" s="10">
        <f>IF(G79="","",IF(G79&gt;=16,"Critical",IF(G79&gt;=10,"High",IF(G79&gt;=5,"Medium","Low"))))</f>
        <v/>
      </c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9">
        <f>IF(OR(E80="",F80=""),"",E80*F80)</f>
        <v/>
      </c>
      <c r="H80" s="10">
        <f>IF(G80="","",IF(G80&gt;=16,"Critical",IF(G80&gt;=10,"High",IF(G80&gt;=5,"Medium","Low"))))</f>
        <v/>
      </c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9">
        <f>IF(OR(E81="",F81=""),"",E81*F81)</f>
        <v/>
      </c>
      <c r="H81" s="10">
        <f>IF(G81="","",IF(G81&gt;=16,"Critical",IF(G81&gt;=10,"High",IF(G81&gt;=5,"Medium","Low"))))</f>
        <v/>
      </c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9">
        <f>IF(OR(E82="",F82=""),"",E82*F82)</f>
        <v/>
      </c>
      <c r="H82" s="10">
        <f>IF(G82="","",IF(G82&gt;=16,"Critical",IF(G82&gt;=10,"High",IF(G82&gt;=5,"Medium","Low"))))</f>
        <v/>
      </c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9">
        <f>IF(OR(E83="",F83=""),"",E83*F83)</f>
        <v/>
      </c>
      <c r="H83" s="10">
        <f>IF(G83="","",IF(G83&gt;=16,"Critical",IF(G83&gt;=10,"High",IF(G83&gt;=5,"Medium","Low"))))</f>
        <v/>
      </c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9">
        <f>IF(OR(E84="",F84=""),"",E84*F84)</f>
        <v/>
      </c>
      <c r="H84" s="10">
        <f>IF(G84="","",IF(G84&gt;=16,"Critical",IF(G84&gt;=10,"High",IF(G84&gt;=5,"Medium","Low"))))</f>
        <v/>
      </c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9">
        <f>IF(OR(E85="",F85=""),"",E85*F85)</f>
        <v/>
      </c>
      <c r="H85" s="10">
        <f>IF(G85="","",IF(G85&gt;=16,"Critical",IF(G85&gt;=10,"High",IF(G85&gt;=5,"Medium","Low"))))</f>
        <v/>
      </c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9">
        <f>IF(OR(E86="",F86=""),"",E86*F86)</f>
        <v/>
      </c>
      <c r="H86" s="10">
        <f>IF(G86="","",IF(G86&gt;=16,"Critical",IF(G86&gt;=10,"High",IF(G86&gt;=5,"Medium","Low"))))</f>
        <v/>
      </c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9">
        <f>IF(OR(E87="",F87=""),"",E87*F87)</f>
        <v/>
      </c>
      <c r="H87" s="10">
        <f>IF(G87="","",IF(G87&gt;=16,"Critical",IF(G87&gt;=10,"High",IF(G87&gt;=5,"Medium","Low"))))</f>
        <v/>
      </c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9">
        <f>IF(OR(E88="",F88=""),"",E88*F88)</f>
        <v/>
      </c>
      <c r="H88" s="10">
        <f>IF(G88="","",IF(G88&gt;=16,"Critical",IF(G88&gt;=10,"High",IF(G88&gt;=5,"Medium","Low"))))</f>
        <v/>
      </c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9">
        <f>IF(OR(E89="",F89=""),"",E89*F89)</f>
        <v/>
      </c>
      <c r="H89" s="10">
        <f>IF(G89="","",IF(G89&gt;=16,"Critical",IF(G89&gt;=10,"High",IF(G89&gt;=5,"Medium","Low"))))</f>
        <v/>
      </c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9">
        <f>IF(OR(E90="",F90=""),"",E90*F90)</f>
        <v/>
      </c>
      <c r="H90" s="10">
        <f>IF(G90="","",IF(G90&gt;=16,"Critical",IF(G90&gt;=10,"High",IF(G90&gt;=5,"Medium","Low"))))</f>
        <v/>
      </c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9">
        <f>IF(OR(E91="",F91=""),"",E91*F91)</f>
        <v/>
      </c>
      <c r="H91" s="10">
        <f>IF(G91="","",IF(G91&gt;=16,"Critical",IF(G91&gt;=10,"High",IF(G91&gt;=5,"Medium","Low"))))</f>
        <v/>
      </c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9">
        <f>IF(OR(E92="",F92=""),"",E92*F92)</f>
        <v/>
      </c>
      <c r="H92" s="10">
        <f>IF(G92="","",IF(G92&gt;=16,"Critical",IF(G92&gt;=10,"High",IF(G92&gt;=5,"Medium","Low"))))</f>
        <v/>
      </c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9">
        <f>IF(OR(E93="",F93=""),"",E93*F93)</f>
        <v/>
      </c>
      <c r="H93" s="10">
        <f>IF(G93="","",IF(G93&gt;=16,"Critical",IF(G93&gt;=10,"High",IF(G93&gt;=5,"Medium","Low"))))</f>
        <v/>
      </c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9">
        <f>IF(OR(E94="",F94=""),"",E94*F94)</f>
        <v/>
      </c>
      <c r="H94" s="10">
        <f>IF(G94="","",IF(G94&gt;=16,"Critical",IF(G94&gt;=10,"High",IF(G94&gt;=5,"Medium","Low"))))</f>
        <v/>
      </c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9">
        <f>IF(OR(E95="",F95=""),"",E95*F95)</f>
        <v/>
      </c>
      <c r="H95" s="10">
        <f>IF(G95="","",IF(G95&gt;=16,"Critical",IF(G95&gt;=10,"High",IF(G95&gt;=5,"Medium","Low"))))</f>
        <v/>
      </c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9">
        <f>IF(OR(E96="",F96=""),"",E96*F96)</f>
        <v/>
      </c>
      <c r="H96" s="10">
        <f>IF(G96="","",IF(G96&gt;=16,"Critical",IF(G96&gt;=10,"High",IF(G96&gt;=5,"Medium","Low"))))</f>
        <v/>
      </c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9">
        <f>IF(OR(E97="",F97=""),"",E97*F97)</f>
        <v/>
      </c>
      <c r="H97" s="10">
        <f>IF(G97="","",IF(G97&gt;=16,"Critical",IF(G97&gt;=10,"High",IF(G97&gt;=5,"Medium","Low"))))</f>
        <v/>
      </c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9">
        <f>IF(OR(E98="",F98=""),"",E98*F98)</f>
        <v/>
      </c>
      <c r="H98" s="10">
        <f>IF(G98="","",IF(G98&gt;=16,"Critical",IF(G98&gt;=10,"High",IF(G98&gt;=5,"Medium","Low"))))</f>
        <v/>
      </c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9">
        <f>IF(OR(E99="",F99=""),"",E99*F99)</f>
        <v/>
      </c>
      <c r="H99" s="10">
        <f>IF(G99="","",IF(G99&gt;=16,"Critical",IF(G99&gt;=10,"High",IF(G99&gt;=5,"Medium","Low"))))</f>
        <v/>
      </c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9">
        <f>IF(OR(E100="",F100=""),"",E100*F100)</f>
        <v/>
      </c>
      <c r="H100" s="10">
        <f>IF(G100="","",IF(G100&gt;=16,"Critical",IF(G100&gt;=10,"High",IF(G100&gt;=5,"Medium","Low"))))</f>
        <v/>
      </c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9">
        <f>IF(OR(E101="",F101=""),"",E101*F101)</f>
        <v/>
      </c>
      <c r="H101" s="10">
        <f>IF(G101="","",IF(G101&gt;=16,"Critical",IF(G101&gt;=10,"High",IF(G101&gt;=5,"Medium","Low"))))</f>
        <v/>
      </c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9">
        <f>IF(OR(E102="",F102=""),"",E102*F102)</f>
        <v/>
      </c>
      <c r="H102" s="10">
        <f>IF(G102="","",IF(G102&gt;=16,"Critical",IF(G102&gt;=10,"High",IF(G102&gt;=5,"Medium","Low"))))</f>
        <v/>
      </c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9">
        <f>IF(OR(E103="",F103=""),"",E103*F103)</f>
        <v/>
      </c>
      <c r="H103" s="10">
        <f>IF(G103="","",IF(G103&gt;=16,"Critical",IF(G103&gt;=10,"High",IF(G103&gt;=5,"Medium","Low"))))</f>
        <v/>
      </c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9">
        <f>IF(OR(E104="",F104=""),"",E104*F104)</f>
        <v/>
      </c>
      <c r="H104" s="10">
        <f>IF(G104="","",IF(G104&gt;=16,"Critical",IF(G104&gt;=10,"High",IF(G104&gt;=5,"Medium","Low"))))</f>
        <v/>
      </c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9">
        <f>IF(OR(E105="",F105=""),"",E105*F105)</f>
        <v/>
      </c>
      <c r="H105" s="10">
        <f>IF(G105="","",IF(G105&gt;=16,"Critical",IF(G105&gt;=10,"High",IF(G105&gt;=5,"Medium","Low"))))</f>
        <v/>
      </c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9">
        <f>IF(OR(E106="",F106=""),"",E106*F106)</f>
        <v/>
      </c>
      <c r="H106" s="10">
        <f>IF(G106="","",IF(G106&gt;=16,"Critical",IF(G106&gt;=10,"High",IF(G106&gt;=5,"Medium","Low"))))</f>
        <v/>
      </c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9">
        <f>IF(OR(E107="",F107=""),"",E107*F107)</f>
        <v/>
      </c>
      <c r="H107" s="10">
        <f>IF(G107="","",IF(G107&gt;=16,"Critical",IF(G107&gt;=10,"High",IF(G107&gt;=5,"Medium","Low"))))</f>
        <v/>
      </c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9">
        <f>IF(OR(E108="",F108=""),"",E108*F108)</f>
        <v/>
      </c>
      <c r="H108" s="10">
        <f>IF(G108="","",IF(G108&gt;=16,"Critical",IF(G108&gt;=10,"High",IF(G108&gt;=5,"Medium","Low"))))</f>
        <v/>
      </c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9">
        <f>IF(OR(E109="",F109=""),"",E109*F109)</f>
        <v/>
      </c>
      <c r="H109" s="10">
        <f>IF(G109="","",IF(G109&gt;=16,"Critical",IF(G109&gt;=10,"High",IF(G109&gt;=5,"Medium","Low"))))</f>
        <v/>
      </c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9">
        <f>IF(OR(E110="",F110=""),"",E110*F110)</f>
        <v/>
      </c>
      <c r="H110" s="10">
        <f>IF(G110="","",IF(G110&gt;=16,"Critical",IF(G110&gt;=10,"High",IF(G110&gt;=5,"Medium","Low"))))</f>
        <v/>
      </c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6">
    <dataValidation sqref="E11:E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F11:F110" showDropDown="0" showInputMessage="0" showErrorMessage="0" allowBlank="1" errorTitle="Invalid entry" error="Enter a whole number from 1 to 5." type="whole" operator="between">
      <formula1>1</formula1>
      <formula2>5</formula2>
    </dataValidation>
    <dataValidation sqref="J11:J110" showDropDown="0" showInputMessage="0" showErrorMessage="0" allowBlank="1" errorTitle="Invalid entry" error="Choose a value from the list." type="list">
      <formula1>"Modify,Retain,Avoid,Share"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whole number from 1 to 25." type="whole" operator="between">
      <formula1>1</formula1>
      <formula2>25</formula2>
    </dataValidation>
    <dataValidation sqref="N11:N110" showDropDown="0" showInputMessage="0" showErrorMessage="0" allowBlank="1" errorTitle="Invalid entry" error="Choose a value from the list." type="list">
      <formula1>"Open,Treating,Accepted,Closed"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2026-10-25T21:01:27Z</dcterms:created>
  <dcterms:modified xmlns:dcterms="http://purl.org/dc/terms/" xmlns:xsi="http://www.w3.org/2001/XMLSchema-instance" xsi:type="dcterms:W3CDTF">2026-10-25T21:01:28Z</dcterms:modified>
</cp:coreProperties>
</file>